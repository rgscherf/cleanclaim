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drawings/drawing8.xml" ContentType="application/vnd.openxmlformats-officedocument.drawing+xml"/>
  <Override PartName="/xl/tables/table13.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tables/table14.xml" ContentType="application/vnd.openxmlformats-officedocument.spreadsheetml.table+xml"/>
  <Override PartName="/xl/drawings/drawing1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hidePivotFieldList="1"/>
  <bookViews>
    <workbookView xWindow="0" yWindow="60" windowWidth="21840" windowHeight="9345" tabRatio="759"/>
  </bookViews>
  <sheets>
    <sheet name="0.Page d'accueil" sheetId="1" r:id="rId1"/>
    <sheet name="1.Biens et serv. fonctionnement" sheetId="38" r:id="rId2"/>
    <sheet name="2.Biens et serv. immobilisation" sheetId="39" r:id="rId3"/>
    <sheet name="3.Personnel - fonctionnement" sheetId="32" r:id="rId4"/>
    <sheet name="4.Personnel - immobilisations" sheetId="7" r:id="rId5"/>
    <sheet name="5.Matériel - fonctionnement" sheetId="20" r:id="rId6"/>
    <sheet name="6.Matériel - immobilisations" sheetId="35" r:id="rId7"/>
    <sheet name="7.Recettes" sheetId="28" r:id="rId8"/>
    <sheet name="8.Sommaire de la demande" sheetId="40" r:id="rId9"/>
    <sheet name="9. Coûts futurs estimatifs" sheetId="42" r:id="rId10"/>
    <sheet name="10. Attestation" sheetId="14" r:id="rId11"/>
  </sheets>
  <definedNames>
    <definedName name="_xlnm._FilterDatabase" localSheetId="9" hidden="1">'9. Coûts futurs estimatifs'!#REF!</definedName>
    <definedName name="Capital_Operating">'9. Coûts futurs estimatifs'!#REF!</definedName>
    <definedName name="Costs">'9. Coûts futurs estimatifs'!#REF!</definedName>
  </definedNames>
  <calcPr calcId="145621"/>
</workbook>
</file>

<file path=xl/calcChain.xml><?xml version="1.0" encoding="utf-8"?>
<calcChain xmlns="http://schemas.openxmlformats.org/spreadsheetml/2006/main">
  <c r="D2" i="7" l="1"/>
  <c r="J31" i="32"/>
  <c r="N31" i="32"/>
  <c r="J15" i="7"/>
  <c r="J16" i="7"/>
  <c r="J17" i="7"/>
  <c r="J18" i="7"/>
  <c r="J19" i="7"/>
  <c r="J20" i="7"/>
  <c r="J21" i="7"/>
  <c r="J22" i="7"/>
  <c r="J23" i="7"/>
  <c r="J24" i="7"/>
  <c r="J25" i="7"/>
  <c r="J26" i="7"/>
  <c r="J27" i="7"/>
  <c r="J28" i="7"/>
  <c r="J29" i="7"/>
  <c r="J30" i="7"/>
  <c r="J31" i="7"/>
  <c r="J32" i="7"/>
  <c r="J33" i="7"/>
  <c r="J33" i="20"/>
  <c r="L33" i="20" s="1"/>
  <c r="J32" i="20"/>
  <c r="L32" i="20" s="1"/>
  <c r="J30" i="32"/>
  <c r="N30" i="32"/>
  <c r="J10" i="32"/>
  <c r="J11" i="32"/>
  <c r="J13" i="32"/>
  <c r="J14" i="32"/>
  <c r="J15" i="32"/>
  <c r="J16" i="32"/>
  <c r="J17" i="32"/>
  <c r="J18" i="32"/>
  <c r="J19" i="32"/>
  <c r="J20" i="32"/>
  <c r="J21" i="32"/>
  <c r="J22" i="32"/>
  <c r="J23" i="32"/>
  <c r="J24" i="32"/>
  <c r="J25" i="32"/>
  <c r="J26" i="32"/>
  <c r="J27" i="32"/>
  <c r="J28" i="32"/>
  <c r="J29" i="32"/>
  <c r="H24" i="39"/>
  <c r="J24" i="39" s="1"/>
  <c r="N29" i="32" l="1"/>
  <c r="N28" i="32"/>
  <c r="H23" i="39"/>
  <c r="J23" i="39" s="1"/>
  <c r="H26" i="38"/>
  <c r="J26" i="38" s="1"/>
  <c r="H25" i="38" l="1"/>
  <c r="J25" i="38" s="1"/>
  <c r="H24" i="38" l="1"/>
  <c r="J24" i="38" s="1"/>
  <c r="H23" i="38"/>
  <c r="J23" i="38" s="1"/>
  <c r="H22" i="39"/>
  <c r="J22" i="39" s="1"/>
  <c r="H21" i="39"/>
  <c r="J21" i="39" s="1"/>
  <c r="H10" i="39" l="1"/>
  <c r="H11" i="39"/>
  <c r="H12" i="39"/>
  <c r="H13" i="39"/>
  <c r="H14" i="39"/>
  <c r="H15" i="39"/>
  <c r="H16" i="39"/>
  <c r="H17" i="39"/>
  <c r="H18" i="39"/>
  <c r="H19" i="39"/>
  <c r="H20" i="39"/>
  <c r="H12" i="38"/>
  <c r="H13" i="38"/>
  <c r="H14" i="38"/>
  <c r="H15" i="38"/>
  <c r="H16" i="38"/>
  <c r="H17" i="38"/>
  <c r="H18" i="38"/>
  <c r="H19" i="38"/>
  <c r="H20" i="38"/>
  <c r="H21" i="38"/>
  <c r="H22" i="38"/>
  <c r="N27" i="32" l="1"/>
  <c r="N26" i="32"/>
  <c r="N25" i="32"/>
  <c r="J13" i="7"/>
  <c r="N13" i="7"/>
  <c r="J24" i="35" l="1"/>
  <c r="L24" i="35"/>
  <c r="J23" i="35"/>
  <c r="L23" i="35" s="1"/>
  <c r="J31" i="20"/>
  <c r="L31" i="20" s="1"/>
  <c r="N24" i="32"/>
  <c r="N23" i="32"/>
  <c r="N22" i="32"/>
  <c r="N21" i="32"/>
  <c r="N20" i="32"/>
  <c r="N19" i="32"/>
  <c r="J20" i="39"/>
  <c r="J12" i="38" l="1"/>
  <c r="J13" i="38"/>
  <c r="J14" i="38"/>
  <c r="J15" i="38"/>
  <c r="J16" i="38"/>
  <c r="J17" i="38"/>
  <c r="J18" i="38"/>
  <c r="J19" i="38"/>
  <c r="J20" i="38"/>
  <c r="J21" i="38"/>
  <c r="J22" i="38"/>
  <c r="J10" i="39" l="1"/>
  <c r="J11" i="39"/>
  <c r="J12" i="39"/>
  <c r="J13" i="39"/>
  <c r="J14" i="39"/>
  <c r="J15" i="39"/>
  <c r="J16" i="39"/>
  <c r="J17" i="39"/>
  <c r="J18" i="39"/>
  <c r="J19" i="39"/>
  <c r="N15" i="7"/>
  <c r="N16" i="7"/>
  <c r="N17" i="7"/>
  <c r="N18" i="7"/>
  <c r="N19" i="7"/>
  <c r="N20" i="7"/>
  <c r="N21" i="7"/>
  <c r="N22" i="7"/>
  <c r="N23" i="7"/>
  <c r="N24" i="7"/>
  <c r="N25" i="7"/>
  <c r="N26" i="7"/>
  <c r="N27" i="7"/>
  <c r="N28" i="7"/>
  <c r="N29" i="7"/>
  <c r="N30" i="7"/>
  <c r="N31" i="7"/>
  <c r="N32" i="7"/>
  <c r="N33" i="7"/>
  <c r="J13" i="20" l="1"/>
  <c r="J22" i="35"/>
  <c r="L22" i="35" s="1"/>
  <c r="J8" i="35" l="1"/>
  <c r="J30" i="20"/>
  <c r="L30" i="20" s="1"/>
  <c r="J29" i="20" l="1"/>
  <c r="L29" i="20" s="1"/>
  <c r="D2" i="32"/>
  <c r="D16" i="40" l="1"/>
  <c r="C1" i="14" l="1"/>
  <c r="G33" i="42"/>
  <c r="D13" i="40"/>
  <c r="E21" i="28"/>
  <c r="J9" i="28"/>
  <c r="I9" i="28"/>
  <c r="J8" i="28"/>
  <c r="I8" i="28"/>
  <c r="I7" i="28"/>
  <c r="H7" i="28"/>
  <c r="J7" i="28" s="1"/>
  <c r="J6" i="28"/>
  <c r="I6" i="28"/>
  <c r="K6" i="28" s="1"/>
  <c r="J5" i="28"/>
  <c r="I5" i="28"/>
  <c r="K5" i="28" s="1"/>
  <c r="J4" i="28"/>
  <c r="I4" i="28"/>
  <c r="C1" i="28"/>
  <c r="J21" i="35"/>
  <c r="L21" i="35" s="1"/>
  <c r="J20" i="35"/>
  <c r="L20" i="35" s="1"/>
  <c r="J19" i="35"/>
  <c r="L19" i="35" s="1"/>
  <c r="J18" i="35"/>
  <c r="L18" i="35" s="1"/>
  <c r="J17" i="35"/>
  <c r="L17" i="35" s="1"/>
  <c r="J16" i="35"/>
  <c r="L16" i="35" s="1"/>
  <c r="J15" i="35"/>
  <c r="L15" i="35" s="1"/>
  <c r="J14" i="35"/>
  <c r="L14" i="35" s="1"/>
  <c r="J13" i="35"/>
  <c r="L13" i="35" s="1"/>
  <c r="J12" i="35"/>
  <c r="L12" i="35" s="1"/>
  <c r="J11" i="35"/>
  <c r="J9" i="35"/>
  <c r="J28" i="20"/>
  <c r="L28" i="20" s="1"/>
  <c r="J27" i="20"/>
  <c r="L27" i="20" s="1"/>
  <c r="J26" i="20"/>
  <c r="L26" i="20" s="1"/>
  <c r="J25" i="20"/>
  <c r="L25" i="20" s="1"/>
  <c r="J24" i="20"/>
  <c r="L24" i="20" s="1"/>
  <c r="J23" i="20"/>
  <c r="L23" i="20" s="1"/>
  <c r="J22" i="20"/>
  <c r="L22" i="20" s="1"/>
  <c r="J21" i="20"/>
  <c r="L21" i="20" s="1"/>
  <c r="J20" i="20"/>
  <c r="L20" i="20" s="1"/>
  <c r="J19" i="20"/>
  <c r="L19" i="20" s="1"/>
  <c r="J18" i="20"/>
  <c r="L18" i="20" s="1"/>
  <c r="J17" i="20"/>
  <c r="L17" i="20" s="1"/>
  <c r="J16" i="20"/>
  <c r="L16" i="20" s="1"/>
  <c r="J15" i="20"/>
  <c r="L15" i="20" s="1"/>
  <c r="J14" i="20"/>
  <c r="L14" i="20" s="1"/>
  <c r="L13" i="20"/>
  <c r="L34" i="7"/>
  <c r="K34" i="7"/>
  <c r="D10" i="40"/>
  <c r="L32" i="32"/>
  <c r="K32" i="32"/>
  <c r="N18" i="32"/>
  <c r="N17" i="32"/>
  <c r="N16" i="32"/>
  <c r="N15" i="32"/>
  <c r="N14" i="32"/>
  <c r="N13" i="32"/>
  <c r="H25" i="39"/>
  <c r="G25" i="39"/>
  <c r="H27" i="38"/>
  <c r="G27" i="38"/>
  <c r="J34" i="7" l="1"/>
  <c r="J32" i="32"/>
  <c r="D9" i="40"/>
  <c r="D12" i="40"/>
  <c r="K8" i="28"/>
  <c r="K9" i="28"/>
  <c r="L25" i="35"/>
  <c r="D11" i="40"/>
  <c r="L34" i="20"/>
  <c r="J34" i="20"/>
  <c r="N34" i="7"/>
  <c r="N32" i="32"/>
  <c r="I25" i="39"/>
  <c r="D8" i="40"/>
  <c r="I27" i="38"/>
  <c r="D7" i="40"/>
  <c r="D14" i="40" l="1"/>
  <c r="D17" i="40" s="1"/>
</calcChain>
</file>

<file path=xl/sharedStrings.xml><?xml version="1.0" encoding="utf-8"?>
<sst xmlns="http://schemas.openxmlformats.org/spreadsheetml/2006/main" count="393" uniqueCount="218">
  <si>
    <t>Equipment</t>
  </si>
  <si>
    <t>HP</t>
  </si>
  <si>
    <t>Model Number</t>
  </si>
  <si>
    <t>Function</t>
  </si>
  <si>
    <t>Total</t>
  </si>
  <si>
    <r>
      <t>Employee Name</t>
    </r>
    <r>
      <rPr>
        <b/>
        <i/>
        <sz val="10"/>
        <rFont val="Arial"/>
        <family val="2"/>
      </rPr>
      <t xml:space="preserve"> (last name, first name)</t>
    </r>
  </si>
  <si>
    <t>sumtotal</t>
  </si>
  <si>
    <t>Description</t>
  </si>
  <si>
    <t>Hours Used</t>
  </si>
  <si>
    <t>Claimant's Rate</t>
  </si>
  <si>
    <t>Total (Option 1)</t>
  </si>
  <si>
    <t>Purpose:</t>
  </si>
  <si>
    <t>Source of Revenue</t>
  </si>
  <si>
    <t>Document Reference #(s)/pg #(s)</t>
  </si>
  <si>
    <t>Date or Date Range</t>
  </si>
  <si>
    <t>Examples</t>
  </si>
  <si>
    <t>Select One</t>
  </si>
  <si>
    <t>Date Range</t>
  </si>
  <si>
    <t>OT Hours Worked (Full Time Only)</t>
  </si>
  <si>
    <t>Overtime Hourly Wage (Full Time Only)</t>
  </si>
  <si>
    <t>Total Wage (Full Time Only)</t>
  </si>
  <si>
    <t>BF</t>
  </si>
  <si>
    <t>Amount Claimed (Temp or Backfill)</t>
  </si>
  <si>
    <t>Total Costs</t>
  </si>
  <si>
    <t>Total Cost</t>
  </si>
  <si>
    <t>(R), (TE) or (BF)</t>
  </si>
  <si>
    <t>R</t>
  </si>
  <si>
    <t>OT Hours Worked (Regular Only)</t>
  </si>
  <si>
    <t>Overtime Hourly Wage (Regular Only)</t>
  </si>
  <si>
    <t>Total Wage (Regular Only)</t>
  </si>
  <si>
    <t>TE</t>
  </si>
  <si>
    <t>Total Wage (TE or BF)</t>
  </si>
  <si>
    <t>Benefits</t>
  </si>
  <si>
    <t>Expenses</t>
  </si>
  <si>
    <t xml:space="preserve"> $           -  </t>
  </si>
  <si>
    <t xml:space="preserve"> $          -  </t>
  </si>
  <si>
    <t xml:space="preserve">  $                    -   </t>
  </si>
  <si>
    <t xml:space="preserve">Purpose: </t>
  </si>
  <si>
    <t>Column1</t>
  </si>
  <si>
    <t>Total:</t>
  </si>
  <si>
    <t xml:space="preserve">Total:    </t>
  </si>
  <si>
    <t>Date:</t>
  </si>
  <si>
    <t>Signature:</t>
  </si>
  <si>
    <t>Zehr, Michelle</t>
  </si>
  <si>
    <t>Column2</t>
  </si>
  <si>
    <t>Employee Name (last name, first name)</t>
  </si>
  <si>
    <t>Start</t>
  </si>
  <si>
    <t>End</t>
  </si>
  <si>
    <t>Document Reference #</t>
  </si>
  <si>
    <t>CostEst</t>
  </si>
  <si>
    <t xml:space="preserve">Trillium Waste Removal Co. </t>
  </si>
  <si>
    <t xml:space="preserve">Construction Inc. </t>
  </si>
  <si>
    <t xml:space="preserve"> 57          -  </t>
  </si>
  <si>
    <t>Rajakumar, Raj</t>
  </si>
  <si>
    <t>John Deere, 190D W</t>
  </si>
  <si>
    <t>Massey Ferguson, MF7620</t>
  </si>
  <si>
    <t>Caterpillar, 973C/D</t>
  </si>
  <si>
    <t>Horsefloat,490</t>
  </si>
  <si>
    <t>Goods /Services Supplier</t>
  </si>
  <si>
    <t>Description of the work</t>
  </si>
  <si>
    <t>Cost(Excl HST)</t>
  </si>
  <si>
    <t>Unrecoverable</t>
  </si>
  <si>
    <t>Document Reference #(s)/pg #(s)2</t>
  </si>
  <si>
    <t>UnrecoverableNotCalc</t>
  </si>
  <si>
    <t>Cost(ExclHST)</t>
  </si>
  <si>
    <t xml:space="preserve">Document Reference </t>
  </si>
  <si>
    <t xml:space="preserve">  Instructions: </t>
  </si>
  <si>
    <t xml:space="preserve">Les municipalités devraient lire soigneusement les Lignes directrices du Programme d’aide aux municipalités pour la reprise après une catastrophe pour obtenir des renseignements importants sur l'admissibilité et les exigences de présentation d'une demande. Pour les instructions techniques détaillées sur la façon d'organiser les documents et d'entrer les données dans les formulaires, se reporter au Guide d’utilisation des formulaires de demande.
</t>
  </si>
  <si>
    <t>Demandeur :</t>
  </si>
  <si>
    <t>Municipalité de référence</t>
  </si>
  <si>
    <t>Nom officiel de la municipalité</t>
  </si>
  <si>
    <t>Catastrophe :</t>
  </si>
  <si>
    <t>ex. tornade, grave inondation, glissement de terrain</t>
  </si>
  <si>
    <t>Trésorier municipal :</t>
  </si>
  <si>
    <t>Nom, prénom</t>
  </si>
  <si>
    <t>Courriel</t>
  </si>
  <si>
    <t>Téléphone</t>
  </si>
  <si>
    <t>Titre de poste</t>
  </si>
  <si>
    <t>Autre contact :</t>
  </si>
  <si>
    <t>Adresse postale</t>
  </si>
  <si>
    <t>Adresse municipale:</t>
  </si>
  <si>
    <t>Ville:</t>
  </si>
  <si>
    <t>Code postal:</t>
  </si>
  <si>
    <t>Date de dépôt:</t>
  </si>
  <si>
    <t xml:space="preserve"> (AAAA/MM/JJ )</t>
  </si>
  <si>
    <t xml:space="preserve">               Ce classeur Excel contient les formulaires suivants :</t>
  </si>
  <si>
    <t xml:space="preserve">             </t>
  </si>
  <si>
    <t>Biens et services - coûts de fonctionnement</t>
  </si>
  <si>
    <t>Objet :</t>
  </si>
  <si>
    <t>Programme d’aide aux municipalités 
pour la reprise après une catastrophe</t>
  </si>
  <si>
    <t>Exemples</t>
  </si>
  <si>
    <t>Date de début du travail AAAA/MM/JJ</t>
  </si>
  <si>
    <t>Date de fin du travail AAAA/MM/JJ</t>
  </si>
  <si>
    <t xml:space="preserve">La Compagnie des Arboristes industrieux </t>
  </si>
  <si>
    <t>Croix-Rouge canadienne</t>
  </si>
  <si>
    <t xml:space="preserve"> Facture no 113 : Travaux urgents d’abattage d’arbres et d’enlèvement de branches tombées dans les rues et sur les trottoirs aux endroits suivants :  
• rue Saint-Georges.
• av. Spadina.
• boul. Burkley 
</t>
  </si>
  <si>
    <t>Facture no 226 : Coût des repas des intervenants d'urgence bénévoles situés à :
• chemin Ellington
• rue Baker</t>
  </si>
  <si>
    <t>Fournisseur des biens ou services</t>
  </si>
  <si>
    <t>Description du travail</t>
  </si>
  <si>
    <t>Coût admissible (excluant la TVH)</t>
  </si>
  <si>
    <t xml:space="preserve">TVH irrécouvrable calculée à 1,76 % </t>
  </si>
  <si>
    <t>TVH irrécouvrable - NON calculée à 1,76 % (entrer manuellement)</t>
  </si>
  <si>
    <t>Total : Coût admissible + TVH irrécouvrable</t>
  </si>
  <si>
    <t>Numéro de page du document de référence</t>
  </si>
  <si>
    <t xml:space="preserve">Biens et services - coûts d'immobilisations </t>
  </si>
  <si>
    <t>Demandeur :</t>
  </si>
  <si>
    <t xml:space="preserve">TVH irrécouvrable calculée à 1,76 % </t>
  </si>
  <si>
    <t>TVH irrécouvrable - NON calculée à 1,76 % (entrer manuellement)</t>
  </si>
  <si>
    <t>Total : Coût admissible + TVH irrécouvrable</t>
  </si>
  <si>
    <t>Facture no 354 : Restauration des poutres orthotropes du pont Coverdale situé sur le chemin de la Montagne</t>
  </si>
  <si>
    <t>Facture no 697 : Enlèvement des débris d'arbres empilés au parc du Maire à l'angle de la rue Principale et de la route 10</t>
  </si>
  <si>
    <t>Personnel - coûts de fonctionnement</t>
  </si>
  <si>
    <r>
      <t xml:space="preserve">Ce formulaire doit servir à documenter les </t>
    </r>
    <r>
      <rPr>
        <b/>
        <sz val="10"/>
        <rFont val="Arial"/>
        <family val="2"/>
      </rPr>
      <t xml:space="preserve">coûts de fonctionnement </t>
    </r>
    <r>
      <rPr>
        <sz val="10"/>
        <rFont val="Arial"/>
        <family val="2"/>
      </rPr>
      <t xml:space="preserve">supplémentaires engagés pour l’achat de biens et de services. Cela peut inclure les coûts d’embauche des fournisseurs de services externes nécessaires ou les coûts supplémentaires des biens nécessaires pour répondre aux besoins immédiats de la collectivité touchée après la catastrophe (p. ex. érection de murs de sacs de sable, établissement de refuges d’urgence, obtention de services de chasse-neige). Se reporter au </t>
    </r>
    <r>
      <rPr>
        <b/>
        <sz val="10"/>
        <rFont val="Arial"/>
        <family val="2"/>
      </rPr>
      <t>chapitre 4</t>
    </r>
    <r>
      <rPr>
        <sz val="10"/>
        <rFont val="Arial"/>
        <family val="2"/>
      </rPr>
      <t xml:space="preserve"> du Guide d’utilisation des formulaires de demande pour les instructions détaillées sur la façon de remplir ce formulaire.</t>
    </r>
  </si>
  <si>
    <r>
      <t xml:space="preserve">Ce formulaire doit servir à documenter les </t>
    </r>
    <r>
      <rPr>
        <b/>
        <sz val="10"/>
        <rFont val="Arial"/>
        <family val="2"/>
      </rPr>
      <t>coûts d’immobilisations</t>
    </r>
    <r>
      <rPr>
        <sz val="10"/>
        <rFont val="Arial"/>
        <family val="2"/>
      </rPr>
      <t xml:space="preserve"> supplémentaires engagés pour l’achat de biens et de services. Cela peut inclure les coûts d’embauche des fournisseurs de services externes nécessaires ou les coûts supplémentaires des biens nécessaires pour remettre l’infrastructure et les services essentiels à leur état avant la catastrophe (p. ex. matériaux de construction comme le béton et des briques). Se reporter au </t>
    </r>
    <r>
      <rPr>
        <b/>
        <sz val="10"/>
        <rFont val="Arial"/>
        <family val="2"/>
      </rPr>
      <t xml:space="preserve">chapitre 4 </t>
    </r>
    <r>
      <rPr>
        <sz val="10"/>
        <rFont val="Arial"/>
        <family val="2"/>
      </rPr>
      <t>du Guide d’utilisation des formulaires de demande pour les instructions détaillées sur la façon de remplir ce formulaire.</t>
    </r>
  </si>
  <si>
    <r>
      <t xml:space="preserve">
TCe formulaire sert à documenter les </t>
    </r>
    <r>
      <rPr>
        <b/>
        <sz val="10"/>
        <color theme="1"/>
        <rFont val="Arial"/>
        <family val="2"/>
      </rPr>
      <t xml:space="preserve">coûts de fonctionnement </t>
    </r>
    <r>
      <rPr>
        <sz val="10"/>
        <color theme="1"/>
        <rFont val="Arial"/>
        <family val="2"/>
      </rPr>
      <t xml:space="preserve">engagés pour les heures supplémentaires du personnel permanent (P), le personnel temporaire (T) contractuel, ou le personnel de remplacement (R). Se reporter au </t>
    </r>
    <r>
      <rPr>
        <b/>
        <sz val="10"/>
        <color theme="1"/>
        <rFont val="Arial"/>
        <family val="2"/>
      </rPr>
      <t>chapitre 5</t>
    </r>
    <r>
      <rPr>
        <sz val="10"/>
        <color theme="1"/>
        <rFont val="Arial"/>
        <family val="2"/>
      </rPr>
      <t xml:space="preserve"> du Guide d’utilisation des formulaires de demande pour les instructions détaillées sur la façon de remplir ce formulaire. </t>
    </r>
  </si>
  <si>
    <t>Nom de l'employé (nom, prénom)</t>
  </si>
  <si>
    <t>Type d'employé (P, T, R)</t>
  </si>
  <si>
    <t>Fonction/travail effectué</t>
  </si>
  <si>
    <t>Heures suppl. Travaillées</t>
  </si>
  <si>
    <t>Personnel permanent seulement</t>
  </si>
  <si>
    <t>Personnel temporaire ou de remplacement seulement</t>
  </si>
  <si>
    <t>Taux des heures suppl.</t>
  </si>
  <si>
    <t>Salaire total (P)</t>
  </si>
  <si>
    <t>Salaire total (temp. ou rempl.)</t>
  </si>
  <si>
    <t>Avantages</t>
  </si>
  <si>
    <t>Coût total</t>
  </si>
  <si>
    <t>P</t>
  </si>
  <si>
    <t>Sélectionner</t>
  </si>
  <si>
    <t>T</t>
  </si>
  <si>
    <t xml:space="preserve">Électricienne. Heures supplémentaires pour rétablir le courant nécessaire aux services essentiels. </t>
  </si>
  <si>
    <t>Remplacement d'un analyste financier affecté à des tâches de rétablissement après un glissement de terrain.</t>
  </si>
  <si>
    <t>Personnel - coûts d'immobilisations</t>
  </si>
  <si>
    <t>Taux des heures supplémentaires</t>
  </si>
  <si>
    <t>Pierre, Raymond</t>
  </si>
  <si>
    <t xml:space="preserve">Maçonnerie de béton pour restaurer la bibliothèque Trillium située au 555, route de l'Imagination
</t>
  </si>
  <si>
    <t xml:space="preserve">Ingénieur - évaluation et estimation des coûts futurs pour la réparation du pont du Ruisseau situé au 123, rue Exemple
</t>
  </si>
  <si>
    <t>Permanent (P) seulement</t>
  </si>
  <si>
    <t xml:space="preserve"> Permanent (P) seulement</t>
  </si>
  <si>
    <t xml:space="preserve">         T</t>
  </si>
  <si>
    <r>
      <t xml:space="preserve">Ce formulaire sert à documenter les </t>
    </r>
    <r>
      <rPr>
        <b/>
        <sz val="10"/>
        <color theme="1"/>
        <rFont val="Arial"/>
        <family val="2"/>
      </rPr>
      <t xml:space="preserve">coûts d’immobilisations </t>
    </r>
    <r>
      <rPr>
        <sz val="10"/>
        <color theme="1"/>
        <rFont val="Arial"/>
        <family val="2"/>
      </rPr>
      <t xml:space="preserve">engagés pour les heures supplémentaires du personnel permanent (P), le personnel temporaire (T) contractuel, ou le personnel de remplacement (R). Se reporter au </t>
    </r>
    <r>
      <rPr>
        <b/>
        <sz val="10"/>
        <color theme="1"/>
        <rFont val="Arial"/>
        <family val="2"/>
      </rPr>
      <t xml:space="preserve">chapitre 5 </t>
    </r>
    <r>
      <rPr>
        <sz val="10"/>
        <color theme="1"/>
        <rFont val="Arial"/>
        <family val="2"/>
      </rPr>
      <t>pour les instructions détaillées sur la façon de remplir ce formulaire.</t>
    </r>
  </si>
  <si>
    <t xml:space="preserve">        R </t>
  </si>
  <si>
    <t xml:space="preserve">Matériel appartenant à la municipalité - coûts de fonctionnement
</t>
  </si>
  <si>
    <t xml:space="preserve">Tarifs de l'Ontario Provincial Standards Specifications 127 </t>
  </si>
  <si>
    <t xml:space="preserve">Objet : </t>
  </si>
  <si>
    <r>
      <t xml:space="preserve">
Ce formulaire sert à documenter les </t>
    </r>
    <r>
      <rPr>
        <b/>
        <sz val="10"/>
        <color theme="1"/>
        <rFont val="Arial"/>
        <family val="2"/>
      </rPr>
      <t xml:space="preserve">coûts d’immobilisations </t>
    </r>
    <r>
      <rPr>
        <sz val="10"/>
        <color theme="1"/>
        <rFont val="Arial"/>
        <family val="2"/>
      </rPr>
      <t>supplémentaires engagés pour l’utilisation du matériel appartenant à la municipalité (p. ex. lubrifiant, kilométrage). 
Les coûts du matériel appartenant à la municipalité sont réclamés à</t>
    </r>
    <r>
      <rPr>
        <b/>
        <sz val="10"/>
        <color theme="1"/>
        <rFont val="Arial"/>
        <family val="2"/>
      </rPr>
      <t xml:space="preserve"> 40 %</t>
    </r>
    <r>
      <rPr>
        <sz val="10"/>
        <color theme="1"/>
        <rFont val="Arial"/>
        <family val="2"/>
      </rPr>
      <t xml:space="preserve"> du tarif de location courant de la machinerie lourde dans la province. 
Se reporter au </t>
    </r>
    <r>
      <rPr>
        <b/>
        <sz val="10"/>
        <color theme="1"/>
        <rFont val="Arial"/>
        <family val="2"/>
      </rPr>
      <t>chapitre 6</t>
    </r>
    <r>
      <rPr>
        <sz val="10"/>
        <color theme="1"/>
        <rFont val="Arial"/>
        <family val="2"/>
      </rPr>
      <t xml:space="preserve"> du Guide d’utilisation des formulaires de demande pour les instructions détaillées sur la façon de remplir ce formulaire. 
</t>
    </r>
  </si>
  <si>
    <t>Matériel et activité</t>
  </si>
  <si>
    <t>Catégorie</t>
  </si>
  <si>
    <t>Marque et numéro de modèle</t>
  </si>
  <si>
    <t>Heures d'utilisation</t>
  </si>
  <si>
    <t>Tarif de location OPSS 127</t>
  </si>
  <si>
    <t>Total des coûts</t>
  </si>
  <si>
    <t>Tracteur à roues, Ferme, Industriel, Quatre roues motrices, pour transporter du sel de voirie</t>
  </si>
  <si>
    <t>Puissance 135 kW</t>
  </si>
  <si>
    <t>Excavatrice hydraulique, Roues pneumatiques, pour enlever les débris</t>
  </si>
  <si>
    <t>Masse en opérations 18 000 kg</t>
  </si>
  <si>
    <t>pour la reprise après une catastrophe</t>
  </si>
  <si>
    <t>Programme d’aide aux municipalités pour la reprise après une catastrophe</t>
  </si>
  <si>
    <t>Matériel appartenant à la municipalité - coûts d'immobilisations</t>
  </si>
  <si>
    <r>
      <t xml:space="preserve">Ce formulaire sert à documenter les </t>
    </r>
    <r>
      <rPr>
        <b/>
        <sz val="10"/>
        <rFont val="Arial"/>
        <family val="2"/>
      </rPr>
      <t xml:space="preserve">coûts d’immobilisations </t>
    </r>
    <r>
      <rPr>
        <sz val="10"/>
        <rFont val="Arial"/>
        <family val="2"/>
      </rPr>
      <t xml:space="preserve">supplémentaires engagés pour l’utilisation du matériel appartenant à la municipalité (p. ex. lubrifiant, kilométrage). 
Les coûts du matériel appartenant à la municipalité sont réclamés à </t>
    </r>
    <r>
      <rPr>
        <b/>
        <sz val="10"/>
        <rFont val="Arial"/>
        <family val="2"/>
      </rPr>
      <t>40 %</t>
    </r>
    <r>
      <rPr>
        <sz val="10"/>
        <rFont val="Arial"/>
        <family val="2"/>
      </rPr>
      <t xml:space="preserve"> du tarif de location courant de la machinerie lourde dans la province. 
Se reporter au</t>
    </r>
    <r>
      <rPr>
        <b/>
        <sz val="10"/>
        <rFont val="Arial"/>
        <family val="2"/>
      </rPr>
      <t xml:space="preserve"> chapitre 6 </t>
    </r>
    <r>
      <rPr>
        <sz val="10"/>
        <rFont val="Arial"/>
        <family val="2"/>
      </rPr>
      <t xml:space="preserve">du Guide d’utilisation des formulaires de demande pour les instructions détaillées sur la façon de remplir ce formulaire. </t>
    </r>
  </si>
  <si>
    <t>Total (à 40%)</t>
  </si>
  <si>
    <t>Remorque-plateau rigide à col de cygne avec tracteur pour transporter du matériel, p. ex. Excavatrices</t>
  </si>
  <si>
    <t>Chargeuse frontale, à chenilles, pour charger l'asphalte et réparer les routes</t>
  </si>
  <si>
    <t xml:space="preserve">Charge utile 20 000 kg </t>
  </si>
  <si>
    <t>Puissance 150 kw</t>
  </si>
  <si>
    <r>
      <t xml:space="preserve">Ce formulaire sert à documenter les recettes touchées par suite d’une catastrophe naturelle, par exemple recettes tirées de la vente de copeaux de bois et de bois. Les recettes déclarées </t>
    </r>
    <r>
      <rPr>
        <b/>
        <sz val="10"/>
        <rFont val="Arial"/>
        <family val="2"/>
      </rPr>
      <t>doivent être déduites</t>
    </r>
    <r>
      <rPr>
        <sz val="10"/>
        <rFont val="Arial"/>
        <family val="2"/>
      </rPr>
      <t xml:space="preserve"> du montant final de la demande. Se reporter au </t>
    </r>
    <r>
      <rPr>
        <b/>
        <sz val="10"/>
        <rFont val="Arial"/>
        <family val="2"/>
      </rPr>
      <t>chapitre 7</t>
    </r>
    <r>
      <rPr>
        <sz val="10"/>
        <rFont val="Arial"/>
        <family val="2"/>
      </rPr>
      <t xml:space="preserve"> du Guide d’utilisation des formulaires de demande pour les instructions détaillées sur la façon de remplir ce formulaire.</t>
    </r>
  </si>
  <si>
    <t>Date de début AAAA/MM/JJ</t>
  </si>
  <si>
    <t>Date de fin AAAA/MM/JJ</t>
  </si>
  <si>
    <t>Source des recettes</t>
  </si>
  <si>
    <t>Recettes</t>
  </si>
  <si>
    <t xml:space="preserve">Municipalité de référence   </t>
  </si>
  <si>
    <t>Demandeur:</t>
  </si>
  <si>
    <t xml:space="preserve">Objet :  </t>
  </si>
  <si>
    <t>Coûts futurs estimatifs</t>
  </si>
  <si>
    <t>Sélectionner coûts de fonctionnement ou d’immobilisations</t>
  </si>
  <si>
    <t>Immobilisations</t>
  </si>
  <si>
    <t>Fonctionnement</t>
  </si>
  <si>
    <t>Ingénieurs inc.</t>
  </si>
  <si>
    <t>Enlèvement de débris illimité</t>
  </si>
  <si>
    <t>Fournisseur</t>
  </si>
  <si>
    <t>Description du travail/projet</t>
  </si>
  <si>
    <t>Documents justificatifs</t>
  </si>
  <si>
    <t>Coût total estimatif</t>
  </si>
  <si>
    <t>Rétablir l’intégrité structurale du pont Saint-Jean à son état avant la catastrophe</t>
  </si>
  <si>
    <t>Enlèvement de débris dangereux autour du lac des Grenouilles. Les conditions météo ont empêché de mener ces travaux plus tôt.</t>
  </si>
  <si>
    <t>Rapport détaillé sur les dommages, photos, copie du contrat conclu par la municipalité avec le fournisseur de services externe</t>
  </si>
  <si>
    <t>Contrat, photo, rapports postérieurs à la catastrophe montrant des risques pour la santé et la sécurité publiques</t>
  </si>
  <si>
    <t>Column3</t>
  </si>
  <si>
    <t>Column4</t>
  </si>
  <si>
    <t>Column5</t>
  </si>
  <si>
    <t xml:space="preserve">Demandeur : </t>
  </si>
  <si>
    <t>Objet:</t>
  </si>
  <si>
    <t>Ce formulaire calcule automatiquement les dépenses inscrites dans les autres formulaires, moins les recettes. Ce formulaire calcule automatiquement les coûts futurs séparément du total net de la demande, puis fournit le total des coûts nets et des coûts estimatifs, moins les recettes. Pour des précisions, se reporter au chapitre 8 du Guide d’utilisation des formulaires de demande.</t>
  </si>
  <si>
    <r>
      <t xml:space="preserve">Ce formulaire sert à documenter les </t>
    </r>
    <r>
      <rPr>
        <b/>
        <sz val="10"/>
        <rFont val="Arial"/>
        <family val="2"/>
      </rPr>
      <t>coûts futurs estimatifs</t>
    </r>
    <r>
      <rPr>
        <sz val="10"/>
        <rFont val="Arial"/>
        <family val="2"/>
      </rPr>
      <t xml:space="preserve"> (p. ex. le coût des réparations à l’infrastructure essentielle comme un pont). Se reporter au</t>
    </r>
    <r>
      <rPr>
        <b/>
        <sz val="10"/>
        <rFont val="Arial"/>
        <family val="2"/>
      </rPr>
      <t xml:space="preserve"> chapitre 9</t>
    </r>
    <r>
      <rPr>
        <sz val="10"/>
        <rFont val="Arial"/>
        <family val="2"/>
      </rPr>
      <t xml:space="preserve"> du Guide d’utilisation des formulaires de demande pour les instructions détaillées sur la façon de remplir ce formulaire. </t>
    </r>
  </si>
  <si>
    <t>*** Le « Total net de la demande » correspond aux dépenses admissibles déjà engagées et payées, moins les recettes, par la municipalité en raison de la catastrophe naturelle. ***</t>
  </si>
  <si>
    <t>Coûts ou recettes</t>
  </si>
  <si>
    <t>Montant</t>
  </si>
  <si>
    <t>Total des coûts de fonctionnement pour les biens et services</t>
  </si>
  <si>
    <t>Total des coûts d'immobilisations pour les biens et services</t>
  </si>
  <si>
    <t>Total des coûts de fonctionnement pour le personnel</t>
  </si>
  <si>
    <t>Total des coûts d'immobilisations pour le personnel</t>
  </si>
  <si>
    <t>Total des coûts de fonctionnement pour le matériel appartenant à la municipalité</t>
  </si>
  <si>
    <t>Total des coûts d'immobilisations pour le matériel appartenant à la municipalité</t>
  </si>
  <si>
    <t>Total des recettes</t>
  </si>
  <si>
    <t>TOTAL net de la demande</t>
  </si>
  <si>
    <t>*** Le « Total incluant les coûts futurs estimatifs » est le total de tous les coûts engagés et payés, moins les recettes, et du total des coûts futurs estimatifs. ***</t>
  </si>
  <si>
    <t xml:space="preserve">Total incluant les coûts futurs estimatifs </t>
  </si>
  <si>
    <t>Ne pas oublier de vérifier individuellement les totaux de chaque formulaire.</t>
  </si>
  <si>
    <t>Vérifier que la copie papier des factures correspond aux totaux figurant dans les formulaires.</t>
  </si>
  <si>
    <t>Cocher cette case pour confirmer l'attestation.</t>
  </si>
  <si>
    <t xml:space="preserve">Nom :  </t>
  </si>
  <si>
    <t>Titre de poste :</t>
  </si>
  <si>
    <t>Nom officiel de la municipalité :</t>
  </si>
  <si>
    <r>
      <t>Ce</t>
    </r>
    <r>
      <rPr>
        <b/>
        <sz val="11"/>
        <rFont val="Arial"/>
        <family val="2"/>
      </rPr>
      <t xml:space="preserve"> formulaire d’attestation</t>
    </r>
    <r>
      <rPr>
        <sz val="11"/>
        <rFont val="Arial"/>
        <family val="2"/>
      </rPr>
      <t xml:space="preserve"> doit être rempli, imprimé et signé à la main par la trésorière ou le trésorier municipal ou par la personne à qui la municipalité a délégué le pouvoir à cet égard. Se reporter au </t>
    </r>
    <r>
      <rPr>
        <b/>
        <sz val="11"/>
        <rFont val="Arial"/>
        <family val="2"/>
      </rPr>
      <t>chapitre 10</t>
    </r>
    <r>
      <rPr>
        <sz val="11"/>
        <rFont val="Arial"/>
        <family val="2"/>
      </rPr>
      <t xml:space="preserve"> du Guide d’utilisation des formulaires de demande pour les instructions détaillées sur la façon de remplir ce formulaire, et au </t>
    </r>
    <r>
      <rPr>
        <b/>
        <sz val="11"/>
        <rFont val="Arial"/>
        <family val="2"/>
      </rPr>
      <t>chapitre 12</t>
    </r>
    <r>
      <rPr>
        <sz val="11"/>
        <rFont val="Arial"/>
        <family val="2"/>
      </rPr>
      <t xml:space="preserve"> pour les instructions sur la façon de le présenter.</t>
    </r>
  </si>
  <si>
    <t>Aménagement paysager Tremblay inc.</t>
  </si>
  <si>
    <t>Le Roi du bois d'œuvre</t>
  </si>
  <si>
    <t>Vente de copeaux de bois</t>
  </si>
  <si>
    <t>Vente de bois</t>
  </si>
  <si>
    <t>Beaubien, Diane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</si>
</sst>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quot;$&quot;* #,##0.00_-;_-&quot;$&quot;* &quot;-&quot;??_-;_-@_-"/>
    <numFmt numFmtId="164" formatCode="&quot;$&quot;#,##0.00_);\(&quot;$&quot;#,##0.00\)"/>
    <numFmt numFmtId="165" formatCode="_(&quot;$&quot;* #,##0.00_);_(&quot;$&quot;* \(#,##0.00\);_(&quot;$&quot;* &quot;-&quot;??_);_(@_)"/>
    <numFmt numFmtId="166" formatCode="_(* #,##0.00_);_(* \(#,##0.00\);_(* &quot;-&quot;??_);_(@_)"/>
    <numFmt numFmtId="167" formatCode="&quot;$&quot;#,##0.00"/>
    <numFmt numFmtId="168" formatCode="[$-409]mmmm\ d\,\ yyyy;@"/>
    <numFmt numFmtId="169" formatCode="_(* #,##0_);_(* \(#,##0\);_(* &quot;-&quot;??_);_(@_)"/>
    <numFmt numFmtId="170" formatCode="m/d/yyyy"/>
    <numFmt numFmtId="171" formatCode="yyyy\-mmm\-dd"/>
  </numFmts>
  <fonts count="40" x14ac:knownFonts="1">
    <font>
      <sz val="11"/>
      <color theme="1"/>
      <name val="Arial"/>
      <family val="2"/>
      <scheme val="minor"/>
    </font>
    <font>
      <sz val="12"/>
      <name val="Arial"/>
      <family val="2"/>
    </font>
    <font>
      <b/>
      <sz val="10"/>
      <name val="Arial"/>
      <family val="2"/>
    </font>
    <font>
      <b/>
      <sz val="12"/>
      <name val="Arial"/>
      <family val="2"/>
    </font>
    <font>
      <sz val="10"/>
      <name val="Arial"/>
      <family val="2"/>
    </font>
    <font>
      <sz val="10"/>
      <color theme="1"/>
      <name val="Arial"/>
      <family val="2"/>
    </font>
    <font>
      <sz val="11"/>
      <name val="Arial"/>
      <family val="2"/>
    </font>
    <font>
      <u/>
      <sz val="10"/>
      <name val="Arial"/>
      <family val="2"/>
    </font>
    <font>
      <b/>
      <sz val="10"/>
      <color theme="1"/>
      <name val="Arial"/>
      <family val="2"/>
    </font>
    <font>
      <b/>
      <i/>
      <sz val="10"/>
      <name val="Arial"/>
      <family val="2"/>
    </font>
    <font>
      <sz val="10"/>
      <color rgb="FF000000"/>
      <name val="Arial"/>
      <family val="2"/>
    </font>
    <font>
      <sz val="10"/>
      <color theme="1"/>
      <name val="Arial"/>
      <family val="2"/>
      <scheme val="minor"/>
    </font>
    <font>
      <sz val="11"/>
      <color theme="1"/>
      <name val="Arial"/>
      <family val="2"/>
      <scheme val="minor"/>
    </font>
    <font>
      <b/>
      <sz val="10"/>
      <color rgb="FF000000"/>
      <name val="Arial"/>
      <family val="2"/>
    </font>
    <font>
      <i/>
      <sz val="10"/>
      <name val="Arial"/>
      <family val="2"/>
    </font>
    <font>
      <i/>
      <sz val="10"/>
      <color theme="1"/>
      <name val="Arial"/>
      <family val="2"/>
    </font>
    <font>
      <sz val="11"/>
      <color theme="1"/>
      <name val="Arial"/>
      <family val="2"/>
    </font>
    <font>
      <b/>
      <sz val="11"/>
      <name val="Arial"/>
      <family val="2"/>
    </font>
    <font>
      <b/>
      <sz val="11"/>
      <color theme="1"/>
      <name val="Arial"/>
      <family val="2"/>
    </font>
    <font>
      <b/>
      <sz val="12"/>
      <color theme="1"/>
      <name val="Arial"/>
      <family val="2"/>
    </font>
    <font>
      <sz val="10"/>
      <color theme="0"/>
      <name val="Arial"/>
      <family val="2"/>
    </font>
    <font>
      <b/>
      <i/>
      <sz val="10"/>
      <color rgb="FFFF0000"/>
      <name val="Arial"/>
      <family val="2"/>
    </font>
    <font>
      <sz val="10"/>
      <color theme="0"/>
      <name val="Arial"/>
      <family val="2"/>
      <scheme val="minor"/>
    </font>
    <font>
      <b/>
      <sz val="16"/>
      <name val="Arial"/>
      <family val="2"/>
    </font>
    <font>
      <b/>
      <sz val="12"/>
      <color theme="1"/>
      <name val="Arial"/>
      <family val="2"/>
      <scheme val="minor"/>
    </font>
    <font>
      <sz val="10"/>
      <color theme="9" tint="0.39997558519241921"/>
      <name val="Arial"/>
      <family val="2"/>
    </font>
    <font>
      <sz val="12"/>
      <color theme="1"/>
      <name val="Arial"/>
      <family val="2"/>
    </font>
    <font>
      <u/>
      <sz val="11"/>
      <color theme="10"/>
      <name val="Arial"/>
      <family val="2"/>
      <scheme val="minor"/>
    </font>
    <font>
      <sz val="14"/>
      <color theme="1"/>
      <name val="Arial"/>
      <family val="2"/>
    </font>
    <font>
      <b/>
      <u/>
      <sz val="14"/>
      <name val="Arial"/>
      <family val="2"/>
      <scheme val="minor"/>
    </font>
    <font>
      <b/>
      <sz val="11"/>
      <color theme="1"/>
      <name val="Arial"/>
      <family val="2"/>
      <scheme val="minor"/>
    </font>
    <font>
      <sz val="11"/>
      <color theme="0"/>
      <name val="Arial"/>
      <family val="2"/>
    </font>
    <font>
      <b/>
      <sz val="14"/>
      <color theme="1"/>
      <name val="Arial"/>
      <family val="2"/>
    </font>
    <font>
      <sz val="10"/>
      <name val="Arial"/>
      <family val="2"/>
      <scheme val="minor"/>
    </font>
    <font>
      <b/>
      <sz val="10"/>
      <color theme="1"/>
      <name val="Arial"/>
      <family val="2"/>
      <scheme val="minor"/>
    </font>
    <font>
      <b/>
      <sz val="20"/>
      <color theme="1"/>
      <name val="Arial"/>
      <family val="2"/>
    </font>
    <font>
      <b/>
      <sz val="20"/>
      <color theme="1"/>
      <name val="Arial"/>
      <family val="2"/>
      <scheme val="minor"/>
    </font>
    <font>
      <b/>
      <sz val="14"/>
      <color theme="1"/>
      <name val="Arial"/>
      <family val="2"/>
      <scheme val="minor"/>
    </font>
    <font>
      <b/>
      <sz val="20"/>
      <name val="Arial"/>
      <family val="2"/>
    </font>
    <font>
      <b/>
      <sz val="14"/>
      <name val="Arial"/>
      <family val="2"/>
    </font>
  </fonts>
  <fills count="16">
    <fill>
      <patternFill patternType="none"/>
    </fill>
    <fill>
      <patternFill patternType="gray125"/>
    </fill>
    <fill>
      <patternFill patternType="solid">
        <fgColor rgb="FFF5FCB6"/>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rgb="FF000000"/>
      </patternFill>
    </fill>
    <fill>
      <patternFill patternType="solid">
        <fgColor theme="9" tint="0.59999389629810485"/>
        <bgColor indexed="64"/>
      </patternFill>
    </fill>
    <fill>
      <patternFill patternType="solid">
        <fgColor theme="9" tint="0.39997558519241921"/>
        <bgColor indexed="64"/>
      </patternFill>
    </fill>
    <fill>
      <patternFill patternType="solid">
        <fgColor theme="2" tint="-9.9978637043366805E-2"/>
        <bgColor rgb="FF000000"/>
      </patternFill>
    </fill>
    <fill>
      <patternFill patternType="solid">
        <fgColor theme="2" tint="-9.9978637043366805E-2"/>
        <bgColor indexed="64"/>
      </patternFill>
    </fill>
    <fill>
      <patternFill patternType="solid">
        <fgColor theme="9" tint="0.39997558519241921"/>
        <bgColor rgb="FF000000"/>
      </patternFill>
    </fill>
    <fill>
      <patternFill patternType="solid">
        <fgColor rgb="FFF5FCB6"/>
        <bgColor rgb="FF000000"/>
      </patternFill>
    </fill>
    <fill>
      <patternFill patternType="solid">
        <fgColor rgb="FFFFFFCC"/>
        <bgColor indexed="64"/>
      </patternFill>
    </fill>
    <fill>
      <patternFill patternType="solid">
        <fgColor theme="2" tint="-9.9948118533890809E-2"/>
        <bgColor indexed="64"/>
      </patternFill>
    </fill>
    <fill>
      <patternFill patternType="solid">
        <fgColor rgb="FFFFFEDA"/>
        <bgColor indexed="64"/>
      </patternFill>
    </fill>
  </fills>
  <borders count="57">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rgb="FF000000"/>
      </bottom>
      <diagonal/>
    </border>
    <border>
      <left style="thin">
        <color indexed="64"/>
      </left>
      <right/>
      <top/>
      <bottom/>
      <diagonal/>
    </border>
    <border>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medium">
        <color indexed="64"/>
      </right>
      <top style="thin">
        <color auto="1"/>
      </top>
      <bottom style="thin">
        <color auto="1"/>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bottom/>
      <diagonal/>
    </border>
    <border>
      <left style="medium">
        <color indexed="64"/>
      </left>
      <right/>
      <top style="thin">
        <color indexed="64"/>
      </top>
      <bottom style="thin">
        <color indexed="64"/>
      </bottom>
      <diagonal/>
    </border>
    <border>
      <left style="thin">
        <color indexed="64"/>
      </left>
      <right style="thin">
        <color rgb="FF000000"/>
      </right>
      <top style="thin">
        <color rgb="FF000000"/>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thin">
        <color indexed="64"/>
      </right>
      <top style="thin">
        <color rgb="FF000000"/>
      </top>
      <bottom style="thin">
        <color indexed="64"/>
      </bottom>
      <diagonal/>
    </border>
    <border>
      <left style="thin">
        <color rgb="FF000000"/>
      </left>
      <right style="thin">
        <color indexed="64"/>
      </right>
      <top style="thin">
        <color rgb="FF000000"/>
      </top>
      <bottom style="thin">
        <color rgb="FF000000"/>
      </bottom>
      <diagonal/>
    </border>
    <border>
      <left/>
      <right/>
      <top/>
      <bottom style="double">
        <color auto="1"/>
      </bottom>
      <diagonal/>
    </border>
    <border>
      <left style="thin">
        <color indexed="64"/>
      </left>
      <right style="thin">
        <color indexed="64"/>
      </right>
      <top style="thin">
        <color auto="1"/>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s>
  <cellStyleXfs count="8">
    <xf numFmtId="0" fontId="0" fillId="0" borderId="0"/>
    <xf numFmtId="166" fontId="12" fillId="0" borderId="0" applyFont="0" applyFill="0" applyBorder="0" applyAlignment="0" applyProtection="0"/>
    <xf numFmtId="9" fontId="12" fillId="0" borderId="0" applyFont="0" applyFill="0" applyBorder="0" applyAlignment="0" applyProtection="0"/>
    <xf numFmtId="165" fontId="12" fillId="0" borderId="0" applyFont="0" applyFill="0" applyBorder="0" applyAlignment="0" applyProtection="0"/>
    <xf numFmtId="166" fontId="12" fillId="0" borderId="0" applyFont="0" applyFill="0" applyBorder="0" applyAlignment="0" applyProtection="0"/>
    <xf numFmtId="165" fontId="12" fillId="0" borderId="0" applyFont="0" applyFill="0" applyBorder="0" applyAlignment="0" applyProtection="0"/>
    <xf numFmtId="44" fontId="12" fillId="0" borderId="0" applyFont="0" applyFill="0" applyBorder="0" applyAlignment="0" applyProtection="0"/>
    <xf numFmtId="0" fontId="27" fillId="0" borderId="0" applyNumberFormat="0" applyFill="0" applyBorder="0" applyAlignment="0" applyProtection="0"/>
  </cellStyleXfs>
  <cellXfs count="451">
    <xf numFmtId="0" fontId="0" fillId="0" borderId="0" xfId="0"/>
    <xf numFmtId="0" fontId="1" fillId="0" borderId="0" xfId="0" applyFont="1" applyProtection="1"/>
    <xf numFmtId="0" fontId="0" fillId="0" borderId="0" xfId="0" applyAlignment="1" applyProtection="1">
      <alignment horizontal="center" vertical="center" wrapText="1"/>
    </xf>
    <xf numFmtId="0" fontId="4" fillId="0" borderId="0" xfId="0" quotePrefix="1" applyFont="1" applyBorder="1" applyAlignment="1" applyProtection="1">
      <alignment wrapText="1"/>
    </xf>
    <xf numFmtId="0" fontId="4" fillId="0" borderId="0" xfId="0" applyFont="1" applyBorder="1" applyAlignment="1" applyProtection="1">
      <alignment wrapText="1"/>
    </xf>
    <xf numFmtId="0" fontId="5" fillId="0" borderId="0" xfId="0" applyFont="1" applyAlignment="1" applyProtection="1">
      <alignment horizontal="center" vertical="center" wrapText="1"/>
    </xf>
    <xf numFmtId="17" fontId="4" fillId="0" borderId="0" xfId="0" applyNumberFormat="1" applyFont="1" applyAlignment="1" applyProtection="1">
      <alignment horizontal="center" vertical="center" wrapText="1"/>
    </xf>
    <xf numFmtId="0" fontId="4" fillId="0" borderId="0" xfId="0" applyFont="1" applyFill="1" applyBorder="1" applyAlignment="1" applyProtection="1">
      <alignment horizontal="center" vertical="center" wrapText="1"/>
    </xf>
    <xf numFmtId="0" fontId="2" fillId="0" borderId="0" xfId="0" applyFont="1" applyFill="1" applyBorder="1" applyAlignment="1" applyProtection="1">
      <alignment horizontal="center" vertical="center" wrapText="1"/>
    </xf>
    <xf numFmtId="167" fontId="4" fillId="0" borderId="0" xfId="0" applyNumberFormat="1" applyFont="1" applyFill="1" applyBorder="1" applyAlignment="1" applyProtection="1">
      <alignment horizontal="center" vertical="center" wrapText="1"/>
    </xf>
    <xf numFmtId="0" fontId="14" fillId="0" borderId="0" xfId="0" applyFont="1" applyProtection="1"/>
    <xf numFmtId="0" fontId="16" fillId="0" borderId="0" xfId="0" applyFont="1" applyProtection="1"/>
    <xf numFmtId="0" fontId="15" fillId="0" borderId="0" xfId="0" applyFont="1" applyProtection="1"/>
    <xf numFmtId="0" fontId="4" fillId="3" borderId="0" xfId="0" applyFont="1" applyFill="1" applyAlignment="1" applyProtection="1">
      <alignment horizontal="left" vertical="top"/>
    </xf>
    <xf numFmtId="0" fontId="3" fillId="0" borderId="0" xfId="0" applyFont="1" applyProtection="1"/>
    <xf numFmtId="0" fontId="0" fillId="0" borderId="0" xfId="0" applyAlignment="1" applyProtection="1">
      <alignment horizontal="center" vertical="center" wrapText="1"/>
    </xf>
    <xf numFmtId="0" fontId="5" fillId="0" borderId="0" xfId="0" applyNumberFormat="1" applyFont="1" applyAlignment="1" applyProtection="1">
      <alignment horizontal="center" vertical="center" wrapText="1"/>
    </xf>
    <xf numFmtId="0" fontId="0" fillId="0" borderId="0" xfId="0" applyNumberFormat="1" applyAlignment="1" applyProtection="1">
      <alignment horizontal="center" vertical="center" wrapText="1"/>
    </xf>
    <xf numFmtId="0" fontId="14" fillId="3" borderId="0" xfId="0" applyFont="1" applyFill="1" applyAlignment="1" applyProtection="1">
      <alignment horizontal="left" vertical="top"/>
    </xf>
    <xf numFmtId="0" fontId="14" fillId="0" borderId="0" xfId="0" applyFont="1" applyFill="1" applyProtection="1"/>
    <xf numFmtId="0" fontId="16" fillId="0" borderId="0" xfId="0" applyFont="1" applyFill="1" applyProtection="1"/>
    <xf numFmtId="0" fontId="16" fillId="0" borderId="0" xfId="0" applyFont="1" applyFill="1" applyAlignment="1" applyProtection="1"/>
    <xf numFmtId="2" fontId="2" fillId="0" borderId="22" xfId="0" applyNumberFormat="1" applyFont="1" applyBorder="1" applyAlignment="1" applyProtection="1">
      <alignment horizontal="center" vertical="center" wrapText="1"/>
    </xf>
    <xf numFmtId="165" fontId="2" fillId="0" borderId="22" xfId="3" applyFont="1" applyBorder="1" applyAlignment="1" applyProtection="1">
      <alignment horizontal="center" vertical="center" wrapText="1"/>
    </xf>
    <xf numFmtId="0" fontId="8" fillId="0" borderId="0" xfId="0" applyFont="1" applyAlignment="1" applyProtection="1">
      <alignment horizontal="center" vertical="center" wrapText="1"/>
    </xf>
    <xf numFmtId="0" fontId="2" fillId="0" borderId="0" xfId="0" applyFont="1" applyAlignment="1" applyProtection="1">
      <alignment horizontal="center" vertical="center"/>
    </xf>
    <xf numFmtId="0" fontId="2" fillId="0" borderId="0" xfId="0" applyFont="1" applyAlignment="1" applyProtection="1">
      <alignment horizontal="left" vertical="center"/>
    </xf>
    <xf numFmtId="0" fontId="2" fillId="4" borderId="22" xfId="0" applyFont="1" applyFill="1" applyBorder="1" applyAlignment="1" applyProtection="1">
      <alignment horizontal="center" vertical="center" wrapText="1"/>
    </xf>
    <xf numFmtId="0" fontId="2" fillId="0" borderId="0" xfId="0" applyFont="1" applyBorder="1" applyAlignment="1" applyProtection="1">
      <alignment vertical="center" wrapText="1"/>
    </xf>
    <xf numFmtId="0" fontId="8" fillId="3" borderId="0" xfId="0" applyFont="1" applyFill="1" applyBorder="1" applyAlignment="1">
      <alignment horizontal="left" vertical="center"/>
    </xf>
    <xf numFmtId="44" fontId="5" fillId="3" borderId="0" xfId="6" applyFont="1" applyFill="1" applyBorder="1" applyAlignment="1">
      <alignment horizontal="left" vertical="center"/>
    </xf>
    <xf numFmtId="0" fontId="2" fillId="0" borderId="0" xfId="0" applyFont="1" applyAlignment="1" applyProtection="1">
      <alignment horizontal="center" vertical="center" wrapText="1"/>
    </xf>
    <xf numFmtId="0" fontId="2" fillId="0" borderId="0" xfId="0" applyFont="1" applyAlignment="1" applyProtection="1">
      <alignment horizontal="right"/>
    </xf>
    <xf numFmtId="0" fontId="7" fillId="0" borderId="0" xfId="0" applyFont="1" applyAlignment="1" applyProtection="1">
      <alignment horizontal="center" vertical="center" wrapText="1"/>
    </xf>
    <xf numFmtId="0" fontId="10" fillId="0" borderId="0" xfId="0" applyFont="1" applyAlignment="1" applyProtection="1">
      <alignment vertical="center"/>
    </xf>
    <xf numFmtId="0" fontId="10" fillId="0" borderId="0" xfId="0" applyFont="1" applyAlignment="1" applyProtection="1">
      <alignment horizontal="left" vertical="center" indent="2"/>
    </xf>
    <xf numFmtId="0" fontId="4" fillId="0" borderId="0" xfId="0" quotePrefix="1" applyFont="1" applyBorder="1" applyAlignment="1" applyProtection="1">
      <alignment wrapText="1"/>
    </xf>
    <xf numFmtId="0" fontId="4" fillId="0" borderId="0" xfId="0" applyFont="1" applyBorder="1" applyAlignment="1" applyProtection="1">
      <alignment wrapText="1"/>
    </xf>
    <xf numFmtId="0" fontId="5" fillId="0" borderId="0" xfId="0" applyFont="1" applyAlignment="1" applyProtection="1">
      <alignment horizontal="center" vertical="center" wrapText="1"/>
    </xf>
    <xf numFmtId="0" fontId="4" fillId="0" borderId="0" xfId="0" applyFont="1" applyFill="1" applyBorder="1" applyAlignment="1" applyProtection="1">
      <alignment horizontal="left" vertical="center" wrapText="1"/>
    </xf>
    <xf numFmtId="0" fontId="4" fillId="0" borderId="0" xfId="0" applyFont="1" applyFill="1" applyBorder="1" applyAlignment="1" applyProtection="1">
      <alignment horizontal="center" vertical="center" wrapText="1"/>
    </xf>
    <xf numFmtId="0" fontId="2" fillId="0" borderId="0" xfId="0" applyFont="1" applyFill="1" applyBorder="1" applyAlignment="1" applyProtection="1">
      <alignment horizontal="center" vertical="center" wrapText="1"/>
    </xf>
    <xf numFmtId="0" fontId="2" fillId="0" borderId="0" xfId="0" applyFont="1" applyAlignment="1" applyProtection="1">
      <alignment horizontal="left"/>
    </xf>
    <xf numFmtId="0" fontId="2" fillId="0" borderId="0" xfId="0" applyFont="1" applyAlignment="1" applyProtection="1">
      <alignment horizontal="left" wrapText="1"/>
    </xf>
    <xf numFmtId="0" fontId="5" fillId="0" borderId="0" xfId="0" applyNumberFormat="1" applyFont="1" applyAlignment="1" applyProtection="1">
      <alignment horizontal="center" vertical="center" wrapText="1"/>
    </xf>
    <xf numFmtId="14" fontId="4" fillId="0" borderId="0" xfId="0" applyNumberFormat="1" applyFont="1" applyFill="1" applyBorder="1" applyAlignment="1" applyProtection="1">
      <alignment horizontal="left" vertical="center" wrapText="1"/>
    </xf>
    <xf numFmtId="0" fontId="5" fillId="0" borderId="0" xfId="0" applyFont="1" applyAlignment="1" applyProtection="1">
      <alignment horizontal="left" vertical="center" wrapText="1"/>
    </xf>
    <xf numFmtId="0" fontId="2" fillId="0" borderId="28" xfId="0" applyFont="1" applyFill="1" applyBorder="1" applyAlignment="1" applyProtection="1">
      <alignment horizontal="right" vertical="center" wrapText="1"/>
    </xf>
    <xf numFmtId="37" fontId="4" fillId="0" borderId="29" xfId="0" applyNumberFormat="1" applyFont="1" applyFill="1" applyBorder="1" applyAlignment="1" applyProtection="1">
      <alignment horizontal="right" vertical="center" wrapText="1"/>
    </xf>
    <xf numFmtId="0" fontId="13" fillId="0" borderId="0" xfId="0" applyFont="1" applyAlignment="1" applyProtection="1">
      <alignment vertical="center"/>
    </xf>
    <xf numFmtId="0" fontId="4" fillId="0" borderId="0" xfId="0" applyFont="1" applyAlignment="1" applyProtection="1">
      <alignment horizontal="left"/>
    </xf>
    <xf numFmtId="0" fontId="7" fillId="0" borderId="0" xfId="0" applyFont="1" applyBorder="1" applyAlignment="1" applyProtection="1">
      <alignment horizontal="left"/>
    </xf>
    <xf numFmtId="0" fontId="21" fillId="0" borderId="0" xfId="0" applyFont="1" applyBorder="1" applyAlignment="1" applyProtection="1">
      <alignment horizontal="left" vertical="center" wrapText="1"/>
    </xf>
    <xf numFmtId="14" fontId="4" fillId="3" borderId="0" xfId="0" applyNumberFormat="1" applyFont="1" applyFill="1" applyBorder="1" applyAlignment="1">
      <alignment horizontal="center" vertical="center" wrapText="1"/>
    </xf>
    <xf numFmtId="4" fontId="4" fillId="0" borderId="0" xfId="0" applyNumberFormat="1" applyFont="1" applyBorder="1" applyAlignment="1" applyProtection="1">
      <alignment wrapText="1"/>
    </xf>
    <xf numFmtId="1" fontId="5" fillId="0" borderId="0" xfId="0" applyNumberFormat="1" applyFont="1" applyAlignment="1" applyProtection="1">
      <alignment horizontal="center" vertical="center" wrapText="1"/>
    </xf>
    <xf numFmtId="0" fontId="20" fillId="0" borderId="0" xfId="0" applyFont="1" applyAlignment="1" applyProtection="1">
      <alignment horizontal="center" vertical="center" wrapText="1"/>
    </xf>
    <xf numFmtId="169" fontId="5" fillId="0" borderId="0" xfId="1" applyNumberFormat="1" applyFont="1" applyAlignment="1" applyProtection="1">
      <alignment horizontal="center" vertical="center" wrapText="1"/>
    </xf>
    <xf numFmtId="4" fontId="5" fillId="0" borderId="0" xfId="0" applyNumberFormat="1" applyFont="1" applyAlignment="1" applyProtection="1">
      <alignment horizontal="center" vertical="center" wrapText="1"/>
    </xf>
    <xf numFmtId="0" fontId="11" fillId="0" borderId="0" xfId="0" applyFont="1"/>
    <xf numFmtId="0" fontId="22" fillId="0" borderId="0" xfId="0" applyFont="1" applyAlignment="1" applyProtection="1">
      <alignment horizontal="center" vertical="center" wrapText="1"/>
    </xf>
    <xf numFmtId="0" fontId="4" fillId="0" borderId="0" xfId="0" quotePrefix="1" applyFont="1" applyBorder="1" applyAlignment="1" applyProtection="1">
      <alignment horizontal="left" wrapText="1"/>
    </xf>
    <xf numFmtId="0" fontId="20" fillId="0" borderId="0" xfId="0" quotePrefix="1" applyFont="1" applyBorder="1" applyAlignment="1" applyProtection="1">
      <alignment wrapText="1"/>
    </xf>
    <xf numFmtId="14" fontId="5" fillId="0" borderId="0" xfId="0" applyNumberFormat="1" applyFont="1" applyAlignment="1" applyProtection="1">
      <alignment horizontal="center" vertical="center" wrapText="1"/>
    </xf>
    <xf numFmtId="0" fontId="21" fillId="0" borderId="0" xfId="0" applyFont="1" applyAlignment="1" applyProtection="1">
      <alignment horizontal="left" vertical="center" wrapText="1"/>
    </xf>
    <xf numFmtId="165" fontId="5" fillId="0" borderId="0" xfId="3" applyFont="1" applyAlignment="1" applyProtection="1">
      <alignment horizontal="center" vertical="center" wrapText="1"/>
    </xf>
    <xf numFmtId="0" fontId="4" fillId="0" borderId="0" xfId="0" applyFont="1" applyBorder="1" applyAlignment="1" applyProtection="1">
      <alignment horizontal="left" vertical="center" wrapText="1"/>
    </xf>
    <xf numFmtId="0" fontId="11" fillId="0" borderId="0" xfId="0" applyFont="1" applyAlignment="1" applyProtection="1">
      <alignment horizontal="center" vertical="center" wrapText="1"/>
    </xf>
    <xf numFmtId="0" fontId="3" fillId="0" borderId="0" xfId="0" applyFont="1" applyAlignment="1" applyProtection="1">
      <alignment horizontal="center" vertical="center" wrapText="1"/>
    </xf>
    <xf numFmtId="0" fontId="3" fillId="0" borderId="0" xfId="0" applyFont="1" applyAlignment="1" applyProtection="1">
      <alignment horizontal="center" wrapText="1"/>
    </xf>
    <xf numFmtId="0" fontId="5" fillId="0" borderId="0" xfId="0" applyFont="1" applyAlignment="1" applyProtection="1">
      <alignment horizontal="center" vertical="top" wrapText="1"/>
    </xf>
    <xf numFmtId="0" fontId="23" fillId="0" borderId="0" xfId="0" applyFont="1" applyAlignment="1" applyProtection="1">
      <alignment horizontal="center" vertical="center" wrapText="1"/>
    </xf>
    <xf numFmtId="0" fontId="24" fillId="0" borderId="0" xfId="0" applyFont="1" applyAlignment="1" applyProtection="1">
      <alignment horizontal="left" vertical="center" wrapText="1"/>
    </xf>
    <xf numFmtId="0" fontId="25" fillId="3" borderId="0" xfId="0" applyFont="1" applyFill="1" applyAlignment="1" applyProtection="1">
      <alignment horizontal="center" vertical="center" wrapText="1"/>
    </xf>
    <xf numFmtId="0" fontId="22" fillId="3" borderId="0" xfId="0" applyFont="1" applyFill="1" applyAlignment="1" applyProtection="1">
      <alignment horizontal="center" vertical="center" wrapText="1"/>
    </xf>
    <xf numFmtId="0" fontId="24" fillId="7" borderId="0" xfId="0" applyFont="1" applyFill="1" applyAlignment="1" applyProtection="1">
      <alignment horizontal="center" vertical="center" wrapText="1"/>
    </xf>
    <xf numFmtId="0" fontId="8" fillId="3" borderId="31" xfId="0" applyFont="1" applyFill="1" applyBorder="1" applyAlignment="1">
      <alignment horizontal="left" vertical="center"/>
    </xf>
    <xf numFmtId="0" fontId="6" fillId="0" borderId="0" xfId="0" applyFont="1" applyBorder="1" applyAlignment="1" applyProtection="1">
      <alignment horizontal="left"/>
    </xf>
    <xf numFmtId="0" fontId="0" fillId="0" borderId="0" xfId="0"/>
    <xf numFmtId="165" fontId="4" fillId="0" borderId="7" xfId="3" applyFont="1" applyFill="1" applyBorder="1" applyAlignment="1" applyProtection="1">
      <alignment horizontal="right" vertical="center" wrapText="1"/>
    </xf>
    <xf numFmtId="0" fontId="2" fillId="0" borderId="0" xfId="0" applyFont="1" applyAlignment="1" applyProtection="1">
      <alignment horizontal="left" vertical="top"/>
    </xf>
    <xf numFmtId="0" fontId="19" fillId="3" borderId="0" xfId="0" applyFont="1" applyFill="1" applyBorder="1" applyAlignment="1">
      <alignment horizontal="left" vertical="center"/>
    </xf>
    <xf numFmtId="14" fontId="2" fillId="8" borderId="14" xfId="0" applyNumberFormat="1" applyFont="1" applyFill="1" applyBorder="1" applyAlignment="1" applyProtection="1">
      <alignment horizontal="center" vertical="center" wrapText="1"/>
    </xf>
    <xf numFmtId="14" fontId="2" fillId="8" borderId="2" xfId="0" applyNumberFormat="1" applyFont="1" applyFill="1" applyBorder="1" applyAlignment="1" applyProtection="1">
      <alignment horizontal="center" vertical="center" wrapText="1"/>
    </xf>
    <xf numFmtId="0" fontId="2" fillId="8" borderId="3" xfId="0" applyFont="1" applyFill="1" applyBorder="1" applyAlignment="1" applyProtection="1">
      <alignment horizontal="center" vertical="center" wrapText="1"/>
    </xf>
    <xf numFmtId="4" fontId="2" fillId="8" borderId="3" xfId="0" applyNumberFormat="1" applyFont="1" applyFill="1" applyBorder="1" applyAlignment="1" applyProtection="1">
      <alignment horizontal="center" vertical="center" wrapText="1"/>
    </xf>
    <xf numFmtId="4" fontId="2" fillId="8" borderId="4" xfId="0" applyNumberFormat="1" applyFont="1" applyFill="1" applyBorder="1" applyAlignment="1" applyProtection="1">
      <alignment horizontal="center" vertical="center" wrapText="1"/>
    </xf>
    <xf numFmtId="0" fontId="2" fillId="8" borderId="4" xfId="0" applyFont="1" applyFill="1" applyBorder="1" applyAlignment="1" applyProtection="1">
      <alignment horizontal="center" vertical="center" wrapText="1"/>
    </xf>
    <xf numFmtId="0" fontId="14" fillId="3" borderId="31" xfId="0" applyFont="1" applyFill="1" applyBorder="1" applyAlignment="1" applyProtection="1">
      <alignment horizontal="left" vertical="center" wrapText="1"/>
      <protection locked="0"/>
    </xf>
    <xf numFmtId="165" fontId="14" fillId="3" borderId="31" xfId="3" applyFont="1" applyFill="1" applyBorder="1" applyAlignment="1" applyProtection="1">
      <alignment horizontal="right" vertical="center" wrapText="1"/>
    </xf>
    <xf numFmtId="0" fontId="15" fillId="3" borderId="31" xfId="0" applyFont="1" applyFill="1" applyBorder="1" applyAlignment="1">
      <alignment horizontal="center" vertical="center" wrapText="1"/>
    </xf>
    <xf numFmtId="0" fontId="4" fillId="10" borderId="31" xfId="0" applyFont="1" applyFill="1" applyBorder="1" applyAlignment="1" applyProtection="1">
      <alignment horizontal="left" vertical="center" wrapText="1"/>
      <protection locked="0"/>
    </xf>
    <xf numFmtId="2" fontId="2" fillId="10" borderId="22" xfId="0" applyNumberFormat="1" applyFont="1" applyFill="1" applyBorder="1" applyAlignment="1" applyProtection="1">
      <alignment horizontal="center" vertical="center" wrapText="1"/>
    </xf>
    <xf numFmtId="0" fontId="5" fillId="10" borderId="31" xfId="0" applyFont="1" applyFill="1" applyBorder="1" applyAlignment="1">
      <alignment horizontal="left" vertical="center"/>
    </xf>
    <xf numFmtId="165" fontId="5" fillId="10" borderId="31" xfId="3" applyFont="1" applyFill="1" applyBorder="1" applyAlignment="1">
      <alignment horizontal="right" vertical="center"/>
    </xf>
    <xf numFmtId="0" fontId="8" fillId="8" borderId="31" xfId="0" applyFont="1" applyFill="1" applyBorder="1" applyAlignment="1">
      <alignment horizontal="center"/>
    </xf>
    <xf numFmtId="4" fontId="2" fillId="8" borderId="37" xfId="0" applyNumberFormat="1" applyFont="1" applyFill="1" applyBorder="1" applyAlignment="1">
      <alignment horizontal="center" vertical="center" wrapText="1"/>
    </xf>
    <xf numFmtId="14" fontId="2" fillId="8" borderId="3" xfId="0" applyNumberFormat="1" applyFont="1" applyFill="1" applyBorder="1" applyAlignment="1" applyProtection="1">
      <alignment horizontal="center" vertical="center" wrapText="1"/>
    </xf>
    <xf numFmtId="2" fontId="2" fillId="8" borderId="19" xfId="0" applyNumberFormat="1" applyFont="1" applyFill="1" applyBorder="1" applyAlignment="1" applyProtection="1">
      <alignment horizontal="center" vertical="center" wrapText="1"/>
    </xf>
    <xf numFmtId="165" fontId="2" fillId="8" borderId="3" xfId="3" applyFont="1" applyFill="1" applyBorder="1" applyAlignment="1" applyProtection="1">
      <alignment horizontal="center" vertical="center" wrapText="1"/>
    </xf>
    <xf numFmtId="165" fontId="2" fillId="8" borderId="20" xfId="3" applyFont="1" applyFill="1" applyBorder="1" applyAlignment="1" applyProtection="1">
      <alignment horizontal="center" vertical="center" wrapText="1"/>
    </xf>
    <xf numFmtId="165" fontId="2" fillId="8" borderId="4" xfId="3" applyFont="1" applyFill="1" applyBorder="1" applyAlignment="1" applyProtection="1">
      <alignment horizontal="center" vertical="center" wrapText="1"/>
    </xf>
    <xf numFmtId="0" fontId="2" fillId="8" borderId="14" xfId="0" applyFont="1" applyFill="1" applyBorder="1" applyAlignment="1" applyProtection="1">
      <alignment horizontal="center" vertical="center" wrapText="1"/>
    </xf>
    <xf numFmtId="167" fontId="4" fillId="11" borderId="4" xfId="0" applyNumberFormat="1" applyFont="1" applyFill="1" applyBorder="1" applyAlignment="1" applyProtection="1">
      <alignment horizontal="right" vertical="center" wrapText="1"/>
    </xf>
    <xf numFmtId="0" fontId="2" fillId="8" borderId="19" xfId="0" applyFont="1" applyFill="1" applyBorder="1" applyAlignment="1" applyProtection="1">
      <alignment horizontal="center" vertical="center" wrapText="1"/>
    </xf>
    <xf numFmtId="0" fontId="2" fillId="8" borderId="20" xfId="0" applyFont="1" applyFill="1" applyBorder="1" applyAlignment="1" applyProtection="1">
      <alignment horizontal="center" vertical="center" wrapText="1"/>
    </xf>
    <xf numFmtId="0" fontId="2" fillId="8" borderId="1" xfId="0" applyNumberFormat="1" applyFont="1" applyFill="1" applyBorder="1" applyAlignment="1" applyProtection="1">
      <alignment horizontal="center" vertical="center" wrapText="1"/>
    </xf>
    <xf numFmtId="0" fontId="4" fillId="8" borderId="4" xfId="0" applyFont="1" applyFill="1" applyBorder="1" applyAlignment="1" applyProtection="1">
      <alignment horizontal="center" vertical="center" wrapText="1"/>
    </xf>
    <xf numFmtId="0" fontId="26" fillId="0" borderId="0" xfId="0" applyFont="1" applyAlignment="1" applyProtection="1">
      <alignment horizontal="left" vertical="center"/>
    </xf>
    <xf numFmtId="0" fontId="5" fillId="0" borderId="0" xfId="0" applyFont="1" applyFill="1" applyAlignment="1" applyProtection="1">
      <alignment horizontal="center" vertical="center" wrapText="1"/>
    </xf>
    <xf numFmtId="0" fontId="4" fillId="0" borderId="0" xfId="0" applyFont="1" applyFill="1" applyAlignment="1" applyProtection="1">
      <alignment horizontal="left"/>
    </xf>
    <xf numFmtId="0" fontId="5" fillId="0" borderId="0" xfId="0" applyFont="1" applyFill="1" applyAlignment="1" applyProtection="1">
      <alignment horizontal="left" vertical="center" wrapText="1"/>
    </xf>
    <xf numFmtId="0" fontId="0" fillId="0" borderId="0" xfId="7" quotePrefix="1" applyFont="1" applyFill="1" applyBorder="1" applyAlignment="1">
      <alignment horizontal="center" vertical="center"/>
    </xf>
    <xf numFmtId="0" fontId="5" fillId="0" borderId="0" xfId="0" applyFont="1" applyFill="1" applyBorder="1" applyAlignment="1" applyProtection="1">
      <alignment horizontal="center" vertical="center" wrapText="1"/>
    </xf>
    <xf numFmtId="165" fontId="4" fillId="0" borderId="31" xfId="3" applyFont="1" applyFill="1" applyBorder="1" applyAlignment="1" applyProtection="1">
      <alignment horizontal="right" vertical="center" wrapText="1"/>
      <protection locked="0"/>
    </xf>
    <xf numFmtId="165" fontId="4" fillId="0" borderId="7" xfId="3" applyFont="1" applyFill="1" applyBorder="1" applyAlignment="1" applyProtection="1">
      <alignment horizontal="right" vertical="center" wrapText="1"/>
      <protection locked="0"/>
    </xf>
    <xf numFmtId="165" fontId="4" fillId="0" borderId="7" xfId="3" applyNumberFormat="1" applyFont="1" applyFill="1" applyBorder="1" applyAlignment="1" applyProtection="1">
      <alignment horizontal="right" vertical="center" wrapText="1"/>
    </xf>
    <xf numFmtId="0" fontId="14" fillId="12" borderId="5" xfId="0" applyNumberFormat="1" applyFont="1" applyFill="1" applyBorder="1" applyAlignment="1" applyProtection="1">
      <alignment horizontal="center" vertical="center" wrapText="1"/>
      <protection locked="0"/>
    </xf>
    <xf numFmtId="0" fontId="14" fillId="5" borderId="5" xfId="0" applyNumberFormat="1" applyFont="1" applyFill="1" applyBorder="1" applyAlignment="1" applyProtection="1">
      <alignment horizontal="left" vertical="center" wrapText="1"/>
      <protection locked="0"/>
    </xf>
    <xf numFmtId="0" fontId="14" fillId="5" borderId="7" xfId="0" applyNumberFormat="1" applyFont="1" applyFill="1" applyBorder="1" applyAlignment="1" applyProtection="1">
      <alignment horizontal="center" vertical="center" wrapText="1"/>
      <protection locked="0"/>
    </xf>
    <xf numFmtId="165" fontId="30" fillId="0" borderId="8" xfId="3" applyFont="1" applyFill="1" applyBorder="1" applyAlignment="1" applyProtection="1">
      <alignment horizontal="right" vertical="center" wrapText="1"/>
    </xf>
    <xf numFmtId="165" fontId="17" fillId="0" borderId="8" xfId="3" applyFont="1" applyFill="1" applyBorder="1" applyAlignment="1" applyProtection="1">
      <alignment horizontal="left" vertical="center" wrapText="1"/>
    </xf>
    <xf numFmtId="165" fontId="17" fillId="0" borderId="8" xfId="3" applyFont="1" applyFill="1" applyBorder="1" applyAlignment="1" applyProtection="1">
      <alignment horizontal="right" vertical="center" wrapText="1"/>
    </xf>
    <xf numFmtId="0" fontId="17" fillId="0" borderId="28" xfId="0" applyFont="1" applyFill="1" applyBorder="1" applyAlignment="1" applyProtection="1">
      <alignment horizontal="right" vertical="center" wrapText="1"/>
    </xf>
    <xf numFmtId="37" fontId="6" fillId="0" borderId="29" xfId="0" applyNumberFormat="1" applyFont="1" applyFill="1" applyBorder="1" applyAlignment="1" applyProtection="1">
      <alignment horizontal="right" vertical="center" wrapText="1"/>
    </xf>
    <xf numFmtId="0" fontId="18" fillId="0" borderId="0" xfId="0" applyFont="1" applyAlignment="1" applyProtection="1">
      <alignment horizontal="center" vertical="center" wrapText="1"/>
    </xf>
    <xf numFmtId="0" fontId="16" fillId="0" borderId="0" xfId="0" applyFont="1" applyAlignment="1" applyProtection="1">
      <alignment horizontal="center" vertical="center" wrapText="1"/>
    </xf>
    <xf numFmtId="0" fontId="16" fillId="0" borderId="0" xfId="0" applyFont="1" applyAlignment="1" applyProtection="1">
      <alignment horizontal="right" vertical="center" wrapText="1"/>
    </xf>
    <xf numFmtId="0" fontId="1" fillId="0" borderId="0" xfId="0" applyFont="1" applyFill="1" applyAlignment="1" applyProtection="1"/>
    <xf numFmtId="0" fontId="1" fillId="0" borderId="0" xfId="0" applyFont="1" applyFill="1" applyAlignment="1" applyProtection="1">
      <alignment horizontal="left"/>
    </xf>
    <xf numFmtId="168" fontId="1" fillId="3" borderId="0" xfId="0" applyNumberFormat="1" applyFont="1" applyFill="1" applyAlignment="1" applyProtection="1"/>
    <xf numFmtId="0" fontId="11" fillId="0" borderId="0" xfId="0" applyFont="1" applyAlignment="1" applyProtection="1">
      <alignment horizontal="center" vertical="center" wrapText="1"/>
      <protection locked="0"/>
    </xf>
    <xf numFmtId="0" fontId="24" fillId="7" borderId="0" xfId="0" applyFont="1" applyFill="1" applyAlignment="1" applyProtection="1">
      <alignment horizontal="center" vertical="center" wrapText="1"/>
      <protection locked="0"/>
    </xf>
    <xf numFmtId="0" fontId="14" fillId="3" borderId="10" xfId="0" applyFont="1" applyFill="1" applyBorder="1" applyAlignment="1" applyProtection="1">
      <alignment horizontal="left" vertical="center" wrapText="1"/>
    </xf>
    <xf numFmtId="167" fontId="14" fillId="3" borderId="10" xfId="2" applyNumberFormat="1" applyFont="1" applyFill="1" applyBorder="1" applyAlignment="1" applyProtection="1">
      <alignment horizontal="right" vertical="center" wrapText="1"/>
    </xf>
    <xf numFmtId="1" fontId="14" fillId="3" borderId="13" xfId="0" applyNumberFormat="1" applyFont="1" applyFill="1" applyBorder="1" applyAlignment="1" applyProtection="1">
      <alignment horizontal="center" vertical="center" wrapText="1"/>
    </xf>
    <xf numFmtId="0" fontId="14" fillId="3" borderId="7" xfId="0" applyFont="1" applyFill="1" applyBorder="1" applyAlignment="1" applyProtection="1">
      <alignment horizontal="left" vertical="center" wrapText="1"/>
    </xf>
    <xf numFmtId="167" fontId="14" fillId="3" borderId="7" xfId="2" applyNumberFormat="1" applyFont="1" applyFill="1" applyBorder="1" applyAlignment="1" applyProtection="1">
      <alignment horizontal="right" vertical="center" wrapText="1"/>
    </xf>
    <xf numFmtId="1" fontId="14" fillId="3" borderId="31" xfId="0" applyNumberFormat="1" applyFont="1" applyFill="1" applyBorder="1" applyAlignment="1" applyProtection="1">
      <alignment horizontal="center" vertical="center" wrapText="1"/>
    </xf>
    <xf numFmtId="0" fontId="32" fillId="0" borderId="0" xfId="0" applyFont="1" applyAlignment="1" applyProtection="1">
      <alignment horizontal="left" vertical="center"/>
    </xf>
    <xf numFmtId="0" fontId="4" fillId="7" borderId="0" xfId="0" applyFont="1" applyFill="1" applyAlignment="1" applyProtection="1">
      <alignment horizontal="center" vertical="center" wrapText="1"/>
      <protection locked="0"/>
    </xf>
    <xf numFmtId="0" fontId="33" fillId="7" borderId="0" xfId="0" applyFont="1" applyFill="1" applyAlignment="1" applyProtection="1">
      <alignment horizontal="center" vertical="center" wrapText="1"/>
      <protection locked="0"/>
    </xf>
    <xf numFmtId="0" fontId="2" fillId="8" borderId="10" xfId="0" applyFont="1" applyFill="1" applyBorder="1" applyAlignment="1">
      <alignment horizontal="center" vertical="center" wrapText="1"/>
    </xf>
    <xf numFmtId="167" fontId="2" fillId="8" borderId="10" xfId="0" applyNumberFormat="1" applyFont="1" applyFill="1" applyBorder="1" applyAlignment="1">
      <alignment horizontal="center" vertical="center" wrapText="1"/>
    </xf>
    <xf numFmtId="1" fontId="2" fillId="8" borderId="13" xfId="0" applyNumberFormat="1" applyFont="1" applyFill="1" applyBorder="1" applyAlignment="1">
      <alignment horizontal="center" vertical="center" wrapText="1"/>
    </xf>
    <xf numFmtId="0" fontId="1" fillId="0" borderId="0" xfId="0" applyNumberFormat="1" applyFont="1" applyBorder="1" applyAlignment="1" applyProtection="1">
      <alignment horizontal="left" vertical="center" wrapText="1"/>
    </xf>
    <xf numFmtId="0" fontId="2" fillId="8" borderId="31" xfId="0" applyFont="1" applyFill="1" applyBorder="1" applyAlignment="1" applyProtection="1">
      <alignment horizontal="center" vertical="center" wrapText="1"/>
    </xf>
    <xf numFmtId="4" fontId="2" fillId="8" borderId="31" xfId="0" applyNumberFormat="1" applyFont="1" applyFill="1" applyBorder="1" applyAlignment="1" applyProtection="1">
      <alignment horizontal="center" vertical="center" wrapText="1"/>
    </xf>
    <xf numFmtId="165" fontId="14" fillId="3" borderId="7" xfId="3" applyFont="1" applyFill="1" applyBorder="1" applyAlignment="1" applyProtection="1">
      <alignment horizontal="center" vertical="center" wrapText="1"/>
    </xf>
    <xf numFmtId="165" fontId="14" fillId="3" borderId="10" xfId="3" applyFont="1" applyFill="1" applyBorder="1" applyAlignment="1" applyProtection="1">
      <alignment horizontal="center" vertical="center" wrapText="1"/>
    </xf>
    <xf numFmtId="165" fontId="2" fillId="0" borderId="15" xfId="3" applyFont="1" applyBorder="1" applyAlignment="1" applyProtection="1">
      <alignment horizontal="center" vertical="center" wrapText="1"/>
    </xf>
    <xf numFmtId="165" fontId="0" fillId="0" borderId="39" xfId="3" applyFont="1" applyFill="1" applyBorder="1" applyAlignment="1" applyProtection="1">
      <alignment horizontal="right" vertical="center" wrapText="1"/>
    </xf>
    <xf numFmtId="165" fontId="0" fillId="0" borderId="40" xfId="3" applyFont="1" applyFill="1" applyBorder="1" applyAlignment="1" applyProtection="1">
      <alignment horizontal="right" vertical="center" wrapText="1"/>
    </xf>
    <xf numFmtId="165" fontId="2" fillId="8" borderId="33" xfId="3" applyFont="1" applyFill="1" applyBorder="1" applyAlignment="1" applyProtection="1">
      <alignment horizontal="center" vertical="center" wrapText="1"/>
    </xf>
    <xf numFmtId="0" fontId="2" fillId="3" borderId="0" xfId="0" applyFont="1" applyFill="1" applyAlignment="1" applyProtection="1">
      <alignment horizontal="left" vertical="top"/>
    </xf>
    <xf numFmtId="0" fontId="3" fillId="3" borderId="0" xfId="0" applyFont="1" applyFill="1" applyAlignment="1" applyProtection="1">
      <alignment horizontal="left" vertical="top"/>
    </xf>
    <xf numFmtId="0" fontId="2" fillId="0" borderId="41" xfId="0" applyFont="1" applyBorder="1" applyAlignment="1" applyProtection="1">
      <alignment horizontal="center" vertical="center" wrapText="1"/>
    </xf>
    <xf numFmtId="0" fontId="2" fillId="4" borderId="35" xfId="0" applyFont="1" applyFill="1" applyBorder="1" applyAlignment="1" applyProtection="1">
      <alignment horizontal="center" vertical="center" wrapText="1"/>
    </xf>
    <xf numFmtId="0" fontId="2" fillId="8" borderId="33" xfId="0" applyFont="1" applyFill="1" applyBorder="1" applyAlignment="1" applyProtection="1">
      <alignment horizontal="center" vertical="center" wrapText="1"/>
    </xf>
    <xf numFmtId="0" fontId="2" fillId="0" borderId="34" xfId="0" applyFont="1" applyBorder="1" applyAlignment="1" applyProtection="1">
      <alignment horizontal="center" vertical="center" wrapText="1"/>
    </xf>
    <xf numFmtId="0" fontId="16" fillId="0" borderId="0" xfId="0" applyFont="1" applyAlignment="1" applyProtection="1">
      <alignment vertical="top"/>
    </xf>
    <xf numFmtId="171" fontId="4" fillId="9" borderId="5" xfId="0" applyNumberFormat="1" applyFont="1" applyFill="1" applyBorder="1" applyAlignment="1" applyProtection="1">
      <alignment horizontal="center" vertical="center" wrapText="1"/>
      <protection locked="0"/>
    </xf>
    <xf numFmtId="171" fontId="4" fillId="9" borderId="31" xfId="0" applyNumberFormat="1" applyFont="1" applyFill="1" applyBorder="1" applyAlignment="1" applyProtection="1">
      <alignment horizontal="center" vertical="center" wrapText="1"/>
      <protection locked="0"/>
    </xf>
    <xf numFmtId="164" fontId="14" fillId="3" borderId="44" xfId="2" applyNumberFormat="1" applyFont="1" applyFill="1" applyBorder="1" applyAlignment="1" applyProtection="1">
      <alignment horizontal="center" vertical="center" wrapText="1"/>
    </xf>
    <xf numFmtId="0" fontId="4" fillId="10" borderId="43" xfId="0" applyFont="1" applyFill="1" applyBorder="1" applyAlignment="1" applyProtection="1">
      <alignment horizontal="left" vertical="center" wrapText="1"/>
      <protection locked="0"/>
    </xf>
    <xf numFmtId="165" fontId="4" fillId="0" borderId="43" xfId="3" applyFont="1" applyFill="1" applyBorder="1" applyAlignment="1" applyProtection="1">
      <alignment horizontal="right" vertical="center" wrapText="1"/>
      <protection locked="0"/>
    </xf>
    <xf numFmtId="14" fontId="14" fillId="3" borderId="12" xfId="0" applyNumberFormat="1" applyFont="1" applyFill="1" applyBorder="1" applyAlignment="1" applyProtection="1">
      <alignment horizontal="left" vertical="center" wrapText="1"/>
    </xf>
    <xf numFmtId="0" fontId="14" fillId="3" borderId="6" xfId="0" applyFont="1" applyFill="1" applyBorder="1" applyAlignment="1" applyProtection="1">
      <alignment horizontal="left" vertical="center" wrapText="1"/>
    </xf>
    <xf numFmtId="2" fontId="14" fillId="3" borderId="21" xfId="0" applyNumberFormat="1" applyFont="1" applyFill="1" applyBorder="1" applyAlignment="1" applyProtection="1">
      <alignment horizontal="right" vertical="center" wrapText="1"/>
    </xf>
    <xf numFmtId="165" fontId="14" fillId="3" borderId="6" xfId="3" applyFont="1" applyFill="1" applyBorder="1" applyAlignment="1" applyProtection="1">
      <alignment horizontal="right" vertical="center" wrapText="1"/>
    </xf>
    <xf numFmtId="165" fontId="14" fillId="3" borderId="30" xfId="3" applyFont="1" applyFill="1" applyBorder="1" applyAlignment="1" applyProtection="1">
      <alignment horizontal="right" vertical="center" wrapText="1"/>
    </xf>
    <xf numFmtId="165" fontId="14" fillId="3" borderId="32" xfId="3" applyFont="1" applyFill="1" applyBorder="1" applyAlignment="1" applyProtection="1">
      <alignment horizontal="right" vertical="center" wrapText="1"/>
    </xf>
    <xf numFmtId="0" fontId="14" fillId="3" borderId="7" xfId="0" applyNumberFormat="1" applyFont="1" applyFill="1" applyBorder="1" applyAlignment="1" applyProtection="1">
      <alignment horizontal="right" vertical="center" wrapText="1"/>
    </xf>
    <xf numFmtId="167" fontId="14" fillId="6" borderId="4" xfId="0" applyNumberFormat="1" applyFont="1" applyFill="1" applyBorder="1" applyAlignment="1" applyProtection="1">
      <alignment horizontal="right" vertical="center" wrapText="1"/>
    </xf>
    <xf numFmtId="14" fontId="14" fillId="3" borderId="5" xfId="0" applyNumberFormat="1" applyFont="1" applyFill="1" applyBorder="1" applyAlignment="1" applyProtection="1">
      <alignment horizontal="left" vertical="center" wrapText="1"/>
    </xf>
    <xf numFmtId="165" fontId="2" fillId="10" borderId="22" xfId="0" applyNumberFormat="1" applyFont="1" applyFill="1" applyBorder="1" applyAlignment="1" applyProtection="1">
      <alignment horizontal="center" vertical="center" wrapText="1"/>
    </xf>
    <xf numFmtId="165" fontId="2" fillId="0" borderId="15" xfId="0" applyNumberFormat="1" applyFont="1" applyBorder="1" applyAlignment="1" applyProtection="1">
      <alignment horizontal="center" vertical="center" wrapText="1"/>
    </xf>
    <xf numFmtId="14" fontId="2" fillId="10" borderId="16" xfId="0" applyNumberFormat="1" applyFont="1" applyFill="1" applyBorder="1" applyAlignment="1" applyProtection="1">
      <alignment horizontal="center" vertical="center" wrapText="1"/>
    </xf>
    <xf numFmtId="0" fontId="2" fillId="10" borderId="22" xfId="0" applyFont="1" applyFill="1" applyBorder="1" applyAlignment="1" applyProtection="1">
      <alignment horizontal="center" vertical="center" wrapText="1"/>
    </xf>
    <xf numFmtId="14" fontId="2" fillId="10" borderId="22" xfId="0" applyNumberFormat="1" applyFont="1" applyFill="1" applyBorder="1" applyAlignment="1" applyProtection="1">
      <alignment horizontal="center" vertical="center" wrapText="1"/>
    </xf>
    <xf numFmtId="165" fontId="2" fillId="0" borderId="34" xfId="0" applyNumberFormat="1" applyFont="1" applyBorder="1" applyAlignment="1" applyProtection="1">
      <alignment horizontal="center" vertical="center" wrapText="1"/>
    </xf>
    <xf numFmtId="165" fontId="2" fillId="0" borderId="35" xfId="0" applyNumberFormat="1" applyFont="1" applyBorder="1" applyAlignment="1" applyProtection="1">
      <alignment horizontal="center" vertical="center" wrapText="1"/>
    </xf>
    <xf numFmtId="0" fontId="2" fillId="0" borderId="15" xfId="0" applyNumberFormat="1" applyFont="1" applyBorder="1" applyAlignment="1" applyProtection="1">
      <alignment horizontal="center" vertical="center" wrapText="1"/>
    </xf>
    <xf numFmtId="0" fontId="2" fillId="0" borderId="22" xfId="0" applyFont="1" applyBorder="1" applyAlignment="1" applyProtection="1">
      <alignment horizontal="center" vertical="center" wrapText="1"/>
    </xf>
    <xf numFmtId="2" fontId="0" fillId="0" borderId="45" xfId="3" applyNumberFormat="1" applyFont="1" applyFill="1" applyBorder="1" applyAlignment="1" applyProtection="1">
      <alignment horizontal="right" vertical="center" wrapText="1"/>
    </xf>
    <xf numFmtId="165" fontId="0" fillId="0" borderId="46" xfId="3" applyFont="1" applyFill="1" applyBorder="1" applyAlignment="1" applyProtection="1">
      <alignment horizontal="right" vertical="center" wrapText="1"/>
    </xf>
    <xf numFmtId="165" fontId="0" fillId="0" borderId="47" xfId="3" applyFont="1" applyFill="1" applyBorder="1" applyAlignment="1" applyProtection="1">
      <alignment horizontal="center" vertical="center" wrapText="1"/>
    </xf>
    <xf numFmtId="167" fontId="4" fillId="0" borderId="43" xfId="0" applyNumberFormat="1" applyFont="1" applyFill="1" applyBorder="1" applyAlignment="1" applyProtection="1">
      <alignment horizontal="right" vertical="center" wrapText="1"/>
    </xf>
    <xf numFmtId="14" fontId="4" fillId="10" borderId="43" xfId="0" applyNumberFormat="1" applyFont="1" applyFill="1" applyBorder="1" applyAlignment="1" applyProtection="1">
      <alignment horizontal="left" vertical="center" wrapText="1"/>
      <protection locked="0"/>
    </xf>
    <xf numFmtId="2" fontId="4" fillId="10" borderId="43" xfId="0" applyNumberFormat="1" applyFont="1" applyFill="1" applyBorder="1" applyAlignment="1" applyProtection="1">
      <alignment horizontal="right" vertical="center" wrapText="1"/>
      <protection locked="0"/>
    </xf>
    <xf numFmtId="165" fontId="4" fillId="10" borderId="43" xfId="3" applyFont="1" applyFill="1" applyBorder="1" applyAlignment="1" applyProtection="1">
      <alignment horizontal="right" vertical="center" wrapText="1"/>
      <protection locked="0"/>
    </xf>
    <xf numFmtId="165" fontId="4" fillId="10" borderId="43" xfId="3" applyFont="1" applyFill="1" applyBorder="1" applyAlignment="1" applyProtection="1">
      <alignment horizontal="center" vertical="center" wrapText="1"/>
    </xf>
    <xf numFmtId="165" fontId="4" fillId="10" borderId="43" xfId="3" applyNumberFormat="1" applyFont="1" applyFill="1" applyBorder="1" applyAlignment="1" applyProtection="1">
      <alignment horizontal="center" vertical="center" wrapText="1"/>
    </xf>
    <xf numFmtId="170" fontId="4" fillId="10" borderId="43" xfId="0" applyNumberFormat="1" applyFont="1" applyFill="1" applyBorder="1" applyAlignment="1" applyProtection="1">
      <alignment horizontal="left" vertical="center" wrapText="1"/>
      <protection locked="0"/>
    </xf>
    <xf numFmtId="0" fontId="4" fillId="10" borderId="43" xfId="0" applyFont="1" applyFill="1" applyBorder="1" applyAlignment="1" applyProtection="1">
      <alignment vertical="center" wrapText="1"/>
      <protection locked="0"/>
    </xf>
    <xf numFmtId="165" fontId="4" fillId="15" borderId="43" xfId="3" applyFont="1" applyFill="1" applyBorder="1" applyAlignment="1" applyProtection="1">
      <alignment horizontal="right" vertical="center" wrapText="1"/>
      <protection locked="0"/>
    </xf>
    <xf numFmtId="14" fontId="14" fillId="3" borderId="11" xfId="0" applyNumberFormat="1" applyFont="1" applyFill="1" applyBorder="1" applyAlignment="1" applyProtection="1">
      <alignment horizontal="left" vertical="center" wrapText="1"/>
    </xf>
    <xf numFmtId="0" fontId="4" fillId="3" borderId="13" xfId="0" applyFont="1" applyFill="1" applyBorder="1" applyAlignment="1" applyProtection="1">
      <alignment horizontal="center" vertical="center" wrapText="1"/>
    </xf>
    <xf numFmtId="0" fontId="14" fillId="3" borderId="13" xfId="0" applyFont="1" applyFill="1" applyBorder="1" applyAlignment="1" applyProtection="1">
      <alignment horizontal="left" vertical="center" wrapText="1"/>
    </xf>
    <xf numFmtId="2" fontId="14" fillId="3" borderId="23" xfId="0" applyNumberFormat="1" applyFont="1" applyFill="1" applyBorder="1" applyAlignment="1" applyProtection="1">
      <alignment horizontal="right" vertical="center" wrapText="1"/>
    </xf>
    <xf numFmtId="165" fontId="14" fillId="3" borderId="13" xfId="3" applyFont="1" applyFill="1" applyBorder="1" applyAlignment="1" applyProtection="1">
      <alignment horizontal="right" vertical="center" wrapText="1"/>
    </xf>
    <xf numFmtId="165" fontId="14" fillId="3" borderId="23" xfId="3" applyFont="1" applyFill="1" applyBorder="1" applyAlignment="1" applyProtection="1">
      <alignment horizontal="right" vertical="center" wrapText="1"/>
    </xf>
    <xf numFmtId="165" fontId="14" fillId="3" borderId="24" xfId="3" applyFont="1" applyFill="1" applyBorder="1" applyAlignment="1" applyProtection="1">
      <alignment horizontal="right" vertical="center" wrapText="1"/>
    </xf>
    <xf numFmtId="0" fontId="14" fillId="3" borderId="10" xfId="0" applyNumberFormat="1" applyFont="1" applyFill="1" applyBorder="1" applyAlignment="1" applyProtection="1">
      <alignment horizontal="center" vertical="center" wrapText="1"/>
    </xf>
    <xf numFmtId="167" fontId="14" fillId="6" borderId="15" xfId="0" applyNumberFormat="1" applyFont="1" applyFill="1" applyBorder="1" applyAlignment="1" applyProtection="1">
      <alignment horizontal="right" vertical="center" wrapText="1"/>
    </xf>
    <xf numFmtId="14" fontId="2" fillId="0" borderId="16" xfId="0" applyNumberFormat="1" applyFont="1" applyBorder="1" applyAlignment="1" applyProtection="1">
      <alignment horizontal="center" vertical="center" wrapText="1"/>
    </xf>
    <xf numFmtId="14" fontId="2" fillId="0" borderId="22" xfId="0" applyNumberFormat="1" applyFont="1" applyBorder="1" applyAlignment="1" applyProtection="1">
      <alignment horizontal="center" vertical="center" wrapText="1"/>
    </xf>
    <xf numFmtId="165" fontId="2" fillId="0" borderId="34" xfId="3" applyFont="1" applyBorder="1" applyAlignment="1" applyProtection="1">
      <alignment horizontal="center" vertical="center" wrapText="1"/>
    </xf>
    <xf numFmtId="165" fontId="2" fillId="0" borderId="0" xfId="3" applyFont="1" applyBorder="1" applyAlignment="1" applyProtection="1">
      <alignment horizontal="center" vertical="center" wrapText="1"/>
    </xf>
    <xf numFmtId="0" fontId="2" fillId="0" borderId="15" xfId="0" applyNumberFormat="1" applyFont="1" applyBorder="1" applyAlignment="1" applyProtection="1">
      <alignment horizontal="center" vertical="center" wrapText="1"/>
      <protection locked="0"/>
    </xf>
    <xf numFmtId="0" fontId="4" fillId="14" borderId="43" xfId="0" applyFont="1" applyFill="1" applyBorder="1" applyAlignment="1" applyProtection="1">
      <alignment horizontal="center" vertical="center" wrapText="1"/>
      <protection locked="0"/>
    </xf>
    <xf numFmtId="165" fontId="4" fillId="14" borderId="43" xfId="3" applyFont="1" applyFill="1" applyBorder="1" applyAlignment="1" applyProtection="1">
      <alignment horizontal="right" vertical="center" wrapText="1"/>
      <protection locked="0"/>
    </xf>
    <xf numFmtId="14" fontId="4" fillId="14" borderId="43" xfId="0" applyNumberFormat="1" applyFont="1" applyFill="1" applyBorder="1" applyAlignment="1" applyProtection="1">
      <alignment horizontal="left" vertical="center" wrapText="1"/>
      <protection locked="0"/>
    </xf>
    <xf numFmtId="0" fontId="4" fillId="14" borderId="7" xfId="0" applyFont="1" applyFill="1" applyBorder="1" applyAlignment="1" applyProtection="1">
      <alignment horizontal="left" vertical="center" wrapText="1"/>
      <protection locked="0"/>
    </xf>
    <xf numFmtId="2" fontId="4" fillId="14" borderId="42" xfId="0" applyNumberFormat="1" applyFont="1" applyFill="1" applyBorder="1" applyAlignment="1" applyProtection="1">
      <alignment horizontal="right" vertical="center" wrapText="1"/>
      <protection locked="0"/>
    </xf>
    <xf numFmtId="165" fontId="4" fillId="14" borderId="44" xfId="3" applyNumberFormat="1" applyFont="1" applyFill="1" applyBorder="1" applyAlignment="1" applyProtection="1">
      <alignment horizontal="center" vertical="center" wrapText="1"/>
    </xf>
    <xf numFmtId="165" fontId="4" fillId="13" borderId="42" xfId="3" applyFont="1" applyFill="1" applyBorder="1" applyAlignment="1" applyProtection="1">
      <alignment horizontal="right" vertical="center" wrapText="1"/>
      <protection locked="0"/>
    </xf>
    <xf numFmtId="14" fontId="2" fillId="0" borderId="0" xfId="0" applyNumberFormat="1" applyFont="1" applyBorder="1" applyAlignment="1" applyProtection="1">
      <alignment vertical="center" wrapText="1"/>
    </xf>
    <xf numFmtId="0" fontId="2" fillId="0" borderId="22" xfId="0" applyFont="1" applyBorder="1" applyAlignment="1" applyProtection="1">
      <alignment vertical="center" wrapText="1"/>
    </xf>
    <xf numFmtId="0" fontId="2" fillId="0" borderId="15" xfId="0" applyFont="1" applyBorder="1" applyAlignment="1" applyProtection="1">
      <alignment horizontal="center" vertical="center" wrapText="1"/>
    </xf>
    <xf numFmtId="0" fontId="5" fillId="0" borderId="0" xfId="0" applyFont="1" applyBorder="1" applyAlignment="1" applyProtection="1">
      <alignment horizontal="right" vertical="center" wrapText="1"/>
    </xf>
    <xf numFmtId="165" fontId="17" fillId="0" borderId="47" xfId="3" applyFont="1" applyFill="1" applyBorder="1" applyAlignment="1" applyProtection="1">
      <alignment horizontal="center" vertical="center" wrapText="1"/>
    </xf>
    <xf numFmtId="165" fontId="17" fillId="0" borderId="40" xfId="3" applyFont="1" applyFill="1" applyBorder="1" applyAlignment="1" applyProtection="1">
      <alignment horizontal="center" vertical="center" wrapText="1"/>
    </xf>
    <xf numFmtId="0" fontId="4" fillId="14" borderId="43" xfId="0" applyFont="1" applyFill="1" applyBorder="1" applyAlignment="1" applyProtection="1">
      <alignment horizontal="left" vertical="center" wrapText="1"/>
      <protection locked="0"/>
    </xf>
    <xf numFmtId="0" fontId="8" fillId="0" borderId="0" xfId="0" applyFont="1" applyFill="1" applyBorder="1" applyAlignment="1" applyProtection="1">
      <alignment vertical="center"/>
    </xf>
    <xf numFmtId="0" fontId="4" fillId="8" borderId="3" xfId="0" applyFont="1" applyFill="1" applyBorder="1" applyAlignment="1" applyProtection="1">
      <alignment horizontal="center" vertical="center" wrapText="1"/>
    </xf>
    <xf numFmtId="0" fontId="8" fillId="0" borderId="34" xfId="0" applyFont="1" applyFill="1" applyBorder="1" applyAlignment="1" applyProtection="1">
      <alignment vertical="center"/>
    </xf>
    <xf numFmtId="2" fontId="4" fillId="13" borderId="42" xfId="0" applyNumberFormat="1" applyFont="1" applyFill="1" applyBorder="1" applyAlignment="1" applyProtection="1">
      <alignment horizontal="right" vertical="center" wrapText="1"/>
      <protection locked="0"/>
    </xf>
    <xf numFmtId="164" fontId="4" fillId="13" borderId="43" xfId="2" applyNumberFormat="1" applyFont="1" applyFill="1" applyBorder="1" applyAlignment="1" applyProtection="1">
      <alignment horizontal="right" vertical="center" wrapText="1"/>
      <protection locked="0"/>
    </xf>
    <xf numFmtId="165" fontId="4" fillId="13" borderId="44" xfId="3" applyFont="1" applyFill="1" applyBorder="1" applyAlignment="1" applyProtection="1">
      <alignment horizontal="center" vertical="center" wrapText="1"/>
    </xf>
    <xf numFmtId="165" fontId="4" fillId="13" borderId="44" xfId="3" applyNumberFormat="1" applyFont="1" applyFill="1" applyBorder="1" applyAlignment="1" applyProtection="1">
      <alignment horizontal="center" vertical="center" wrapText="1"/>
    </xf>
    <xf numFmtId="0" fontId="4" fillId="13" borderId="42" xfId="0" applyFont="1" applyFill="1" applyBorder="1" applyAlignment="1" applyProtection="1">
      <alignment horizontal="right" vertical="center" wrapText="1"/>
      <protection locked="0"/>
    </xf>
    <xf numFmtId="0" fontId="2" fillId="0" borderId="0" xfId="0" applyNumberFormat="1" applyFont="1" applyBorder="1" applyAlignment="1" applyProtection="1">
      <alignment horizontal="center" vertical="center" wrapText="1"/>
    </xf>
    <xf numFmtId="0" fontId="5" fillId="0" borderId="15" xfId="0" applyFont="1" applyBorder="1" applyAlignment="1" applyProtection="1">
      <alignment horizontal="right" vertical="center" wrapText="1"/>
    </xf>
    <xf numFmtId="165" fontId="17" fillId="0" borderId="40" xfId="3" applyFont="1" applyFill="1" applyBorder="1" applyAlignment="1" applyProtection="1">
      <alignment horizontal="right" vertical="center" wrapText="1"/>
    </xf>
    <xf numFmtId="165" fontId="2" fillId="0" borderId="40" xfId="3" applyFont="1" applyFill="1" applyBorder="1" applyAlignment="1" applyProtection="1">
      <alignment horizontal="right" vertical="center" wrapText="1"/>
    </xf>
    <xf numFmtId="167" fontId="4" fillId="0" borderId="3" xfId="0" applyNumberFormat="1" applyFont="1" applyFill="1" applyBorder="1" applyAlignment="1" applyProtection="1">
      <alignment horizontal="right" vertical="center" wrapText="1"/>
      <protection locked="0"/>
    </xf>
    <xf numFmtId="167" fontId="4" fillId="0" borderId="43" xfId="0" applyNumberFormat="1" applyFont="1" applyFill="1" applyBorder="1" applyAlignment="1" applyProtection="1">
      <alignment horizontal="right" vertical="center" wrapText="1"/>
      <protection locked="0"/>
    </xf>
    <xf numFmtId="0" fontId="14" fillId="10" borderId="3" xfId="0" applyFont="1" applyFill="1" applyBorder="1" applyAlignment="1" applyProtection="1">
      <alignment horizontal="left" vertical="center" wrapText="1"/>
      <protection locked="0"/>
    </xf>
    <xf numFmtId="0" fontId="14" fillId="10" borderId="43" xfId="0" applyFont="1" applyFill="1" applyBorder="1" applyAlignment="1" applyProtection="1">
      <alignment horizontal="left" vertical="center" wrapText="1"/>
      <protection locked="0"/>
    </xf>
    <xf numFmtId="14" fontId="2" fillId="10" borderId="2" xfId="0" applyNumberFormat="1" applyFont="1" applyFill="1" applyBorder="1" applyAlignment="1" applyProtection="1">
      <alignment horizontal="center" vertical="center" wrapText="1"/>
    </xf>
    <xf numFmtId="0" fontId="2" fillId="10" borderId="3" xfId="0" applyFont="1" applyFill="1" applyBorder="1" applyAlignment="1" applyProtection="1">
      <alignment horizontal="center" vertical="center" wrapText="1"/>
    </xf>
    <xf numFmtId="14" fontId="4" fillId="10" borderId="12" xfId="0" applyNumberFormat="1" applyFont="1" applyFill="1" applyBorder="1" applyAlignment="1" applyProtection="1">
      <alignment horizontal="center" vertical="center" wrapText="1"/>
      <protection locked="0"/>
    </xf>
    <xf numFmtId="14" fontId="2" fillId="8" borderId="50" xfId="0" applyNumberFormat="1" applyFont="1" applyFill="1" applyBorder="1" applyAlignment="1">
      <alignment horizontal="center" vertical="center" wrapText="1"/>
    </xf>
    <xf numFmtId="14" fontId="2" fillId="8" borderId="49" xfId="0" applyNumberFormat="1" applyFont="1" applyFill="1" applyBorder="1" applyAlignment="1">
      <alignment horizontal="center" vertical="center" wrapText="1"/>
    </xf>
    <xf numFmtId="171" fontId="14" fillId="10" borderId="2" xfId="0" applyNumberFormat="1" applyFont="1" applyFill="1" applyBorder="1" applyAlignment="1" applyProtection="1">
      <alignment horizontal="left" vertical="center" wrapText="1"/>
      <protection locked="0"/>
    </xf>
    <xf numFmtId="171" fontId="14" fillId="10" borderId="5" xfId="0" applyNumberFormat="1" applyFont="1" applyFill="1" applyBorder="1" applyAlignment="1" applyProtection="1">
      <alignment horizontal="left" vertical="center" wrapText="1"/>
      <protection locked="0"/>
    </xf>
    <xf numFmtId="171" fontId="4" fillId="10" borderId="5" xfId="0" applyNumberFormat="1" applyFont="1" applyFill="1" applyBorder="1" applyAlignment="1" applyProtection="1">
      <alignment horizontal="center" vertical="center" wrapText="1"/>
      <protection locked="0"/>
    </xf>
    <xf numFmtId="171" fontId="4" fillId="10" borderId="5" xfId="0" applyNumberFormat="1" applyFont="1" applyFill="1" applyBorder="1" applyAlignment="1" applyProtection="1">
      <alignment horizontal="left" vertical="center" wrapText="1"/>
      <protection locked="0"/>
    </xf>
    <xf numFmtId="0" fontId="4" fillId="10" borderId="22" xfId="0" applyFont="1" applyFill="1" applyBorder="1" applyAlignment="1" applyProtection="1">
      <alignment horizontal="left" vertical="center" wrapText="1"/>
      <protection locked="0"/>
    </xf>
    <xf numFmtId="167" fontId="4" fillId="0" borderId="43" xfId="2" applyNumberFormat="1" applyFont="1" applyFill="1" applyBorder="1" applyAlignment="1" applyProtection="1">
      <alignment horizontal="right" vertical="center" wrapText="1"/>
      <protection locked="0"/>
    </xf>
    <xf numFmtId="171" fontId="4" fillId="9" borderId="43" xfId="0" applyNumberFormat="1" applyFont="1" applyFill="1" applyBorder="1" applyAlignment="1" applyProtection="1">
      <alignment horizontal="center" vertical="center" wrapText="1"/>
      <protection locked="0"/>
    </xf>
    <xf numFmtId="171" fontId="4" fillId="14" borderId="43" xfId="0" applyNumberFormat="1" applyFont="1" applyFill="1" applyBorder="1" applyAlignment="1" applyProtection="1">
      <alignment horizontal="center" vertical="center" wrapText="1"/>
      <protection locked="0"/>
    </xf>
    <xf numFmtId="171" fontId="4" fillId="10" borderId="43" xfId="0" applyNumberFormat="1" applyFont="1" applyFill="1" applyBorder="1" applyAlignment="1" applyProtection="1">
      <alignment horizontal="center" vertical="center" wrapText="1"/>
      <protection locked="0"/>
    </xf>
    <xf numFmtId="0" fontId="4" fillId="8" borderId="2" xfId="0" applyFont="1" applyFill="1" applyBorder="1" applyAlignment="1" applyProtection="1">
      <alignment horizontal="center" vertical="center" wrapText="1"/>
    </xf>
    <xf numFmtId="0" fontId="14" fillId="3" borderId="43" xfId="0" applyFont="1" applyFill="1" applyBorder="1" applyAlignment="1" applyProtection="1">
      <alignment vertical="center" wrapText="1"/>
    </xf>
    <xf numFmtId="0" fontId="14" fillId="3" borderId="43" xfId="0" applyFont="1" applyFill="1" applyBorder="1" applyAlignment="1" applyProtection="1">
      <alignment horizontal="center" vertical="center" wrapText="1"/>
    </xf>
    <xf numFmtId="0" fontId="14" fillId="3" borderId="7" xfId="0" applyFont="1" applyFill="1" applyBorder="1" applyAlignment="1" applyProtection="1">
      <alignment horizontal="center" vertical="center" wrapText="1"/>
    </xf>
    <xf numFmtId="2" fontId="14" fillId="3" borderId="36" xfId="0" applyNumberFormat="1" applyFont="1" applyFill="1" applyBorder="1" applyAlignment="1" applyProtection="1">
      <alignment horizontal="right" vertical="center" wrapText="1"/>
    </xf>
    <xf numFmtId="164" fontId="14" fillId="3" borderId="43" xfId="2" applyNumberFormat="1" applyFont="1" applyFill="1" applyBorder="1" applyAlignment="1" applyProtection="1">
      <alignment horizontal="right" vertical="center" wrapText="1"/>
    </xf>
    <xf numFmtId="0" fontId="14" fillId="3" borderId="12" xfId="0" applyNumberFormat="1" applyFont="1" applyFill="1" applyBorder="1" applyAlignment="1" applyProtection="1">
      <alignment horizontal="center" vertical="center" wrapText="1"/>
    </xf>
    <xf numFmtId="164" fontId="15" fillId="3" borderId="7" xfId="0" applyNumberFormat="1" applyFont="1" applyFill="1" applyBorder="1" applyAlignment="1" applyProtection="1">
      <alignment horizontal="right" vertical="center" wrapText="1"/>
    </xf>
    <xf numFmtId="0" fontId="14" fillId="3" borderId="13" xfId="0" applyFont="1" applyFill="1" applyBorder="1" applyAlignment="1" applyProtection="1">
      <alignment vertical="center" wrapText="1"/>
    </xf>
    <xf numFmtId="0" fontId="14" fillId="3" borderId="13" xfId="0" applyFont="1" applyFill="1" applyBorder="1" applyAlignment="1" applyProtection="1">
      <alignment horizontal="center" vertical="center" wrapText="1"/>
    </xf>
    <xf numFmtId="0" fontId="14" fillId="3" borderId="10" xfId="0" applyFont="1" applyFill="1" applyBorder="1" applyAlignment="1" applyProtection="1">
      <alignment horizontal="center" vertical="center" wrapText="1"/>
    </xf>
    <xf numFmtId="2" fontId="14" fillId="3" borderId="48" xfId="0" applyNumberFormat="1" applyFont="1" applyFill="1" applyBorder="1" applyAlignment="1" applyProtection="1">
      <alignment horizontal="right" vertical="center" wrapText="1"/>
    </xf>
    <xf numFmtId="164" fontId="14" fillId="3" borderId="13" xfId="2" applyNumberFormat="1" applyFont="1" applyFill="1" applyBorder="1" applyAlignment="1" applyProtection="1">
      <alignment horizontal="right" vertical="center" wrapText="1"/>
    </xf>
    <xf numFmtId="164" fontId="14" fillId="3" borderId="24" xfId="2" applyNumberFormat="1" applyFont="1" applyFill="1" applyBorder="1" applyAlignment="1" applyProtection="1">
      <alignment horizontal="center" vertical="center" wrapText="1"/>
    </xf>
    <xf numFmtId="0" fontId="14" fillId="3" borderId="9" xfId="0" applyNumberFormat="1" applyFont="1" applyFill="1" applyBorder="1" applyAlignment="1" applyProtection="1">
      <alignment horizontal="center" vertical="center" wrapText="1"/>
    </xf>
    <xf numFmtId="164" fontId="15" fillId="3" borderId="10" xfId="0" applyNumberFormat="1" applyFont="1" applyFill="1" applyBorder="1" applyAlignment="1" applyProtection="1">
      <alignment horizontal="right" vertical="center" wrapText="1"/>
    </xf>
    <xf numFmtId="0" fontId="14" fillId="3" borderId="42" xfId="0" applyFont="1" applyFill="1" applyBorder="1" applyAlignment="1" applyProtection="1">
      <alignment horizontal="right" vertical="center" wrapText="1"/>
    </xf>
    <xf numFmtId="0" fontId="14" fillId="3" borderId="23" xfId="0" applyFont="1" applyFill="1" applyBorder="1" applyAlignment="1" applyProtection="1">
      <alignment horizontal="right" vertical="center" wrapText="1"/>
    </xf>
    <xf numFmtId="0" fontId="5" fillId="0" borderId="16" xfId="0" applyFont="1" applyBorder="1" applyAlignment="1" applyProtection="1">
      <alignment vertical="center" wrapText="1"/>
    </xf>
    <xf numFmtId="171" fontId="4" fillId="14" borderId="43" xfId="0" applyNumberFormat="1" applyFont="1" applyFill="1" applyBorder="1" applyAlignment="1" applyProtection="1">
      <alignment horizontal="left" vertical="center" wrapText="1"/>
      <protection locked="0"/>
    </xf>
    <xf numFmtId="0" fontId="5" fillId="0" borderId="0" xfId="0" applyFont="1" applyAlignment="1" applyProtection="1">
      <alignment vertical="center" wrapText="1"/>
    </xf>
    <xf numFmtId="0" fontId="4" fillId="10" borderId="16" xfId="0" applyFont="1" applyFill="1" applyBorder="1" applyAlignment="1" applyProtection="1">
      <alignment horizontal="left" vertical="center" wrapText="1"/>
      <protection locked="0"/>
    </xf>
    <xf numFmtId="165" fontId="34" fillId="0" borderId="0" xfId="3" applyFont="1" applyAlignment="1" applyProtection="1">
      <alignment horizontal="center" vertical="center" wrapText="1"/>
    </xf>
    <xf numFmtId="165" fontId="30" fillId="0" borderId="51" xfId="3" applyFont="1" applyBorder="1" applyAlignment="1" applyProtection="1">
      <alignment horizontal="center" vertical="center" wrapText="1"/>
    </xf>
    <xf numFmtId="165" fontId="4" fillId="0" borderId="15" xfId="3" applyFont="1" applyFill="1" applyBorder="1" applyAlignment="1" applyProtection="1">
      <alignment horizontal="right" vertical="center" wrapText="1"/>
    </xf>
    <xf numFmtId="0" fontId="14" fillId="3" borderId="31" xfId="0" applyFont="1" applyFill="1" applyBorder="1" applyAlignment="1" applyProtection="1">
      <alignment horizontal="left" vertical="center" wrapText="1"/>
    </xf>
    <xf numFmtId="0" fontId="14" fillId="3" borderId="52" xfId="0" applyFont="1" applyFill="1" applyBorder="1" applyAlignment="1" applyProtection="1">
      <alignment horizontal="left" vertical="center" wrapText="1"/>
    </xf>
    <xf numFmtId="165" fontId="5" fillId="3" borderId="0" xfId="3" applyFont="1" applyFill="1" applyBorder="1" applyAlignment="1">
      <alignment horizontal="right" vertical="center"/>
    </xf>
    <xf numFmtId="0" fontId="8" fillId="5" borderId="43" xfId="0" applyFont="1" applyFill="1" applyBorder="1" applyAlignment="1">
      <alignment horizontal="left" vertical="center"/>
    </xf>
    <xf numFmtId="165" fontId="5" fillId="5" borderId="43" xfId="3" applyFont="1" applyFill="1" applyBorder="1" applyAlignment="1">
      <alignment horizontal="right" vertical="center"/>
    </xf>
    <xf numFmtId="165" fontId="8" fillId="3" borderId="31" xfId="3" applyFont="1" applyFill="1" applyBorder="1" applyAlignment="1">
      <alignment horizontal="right" vertical="center"/>
    </xf>
    <xf numFmtId="165" fontId="8" fillId="5" borderId="43" xfId="3" applyFont="1" applyFill="1" applyBorder="1" applyAlignment="1">
      <alignment horizontal="left" vertical="center"/>
    </xf>
    <xf numFmtId="49" fontId="4" fillId="0" borderId="4" xfId="0" applyNumberFormat="1" applyFont="1" applyFill="1" applyBorder="1" applyAlignment="1" applyProtection="1">
      <alignment horizontal="center" vertical="center" wrapText="1"/>
      <protection locked="0"/>
    </xf>
    <xf numFmtId="49" fontId="4" fillId="0" borderId="7" xfId="0" applyNumberFormat="1" applyFont="1" applyFill="1" applyBorder="1" applyAlignment="1" applyProtection="1">
      <alignment horizontal="center" vertical="center" wrapText="1"/>
      <protection locked="0"/>
    </xf>
    <xf numFmtId="0" fontId="8" fillId="0" borderId="0" xfId="0" applyFont="1" applyAlignment="1" applyProtection="1">
      <alignment horizontal="center" vertical="center" textRotation="90" wrapText="1"/>
    </xf>
    <xf numFmtId="0" fontId="19" fillId="0" borderId="0" xfId="0" applyFont="1" applyProtection="1"/>
    <xf numFmtId="171" fontId="4" fillId="6" borderId="2" xfId="0" applyNumberFormat="1" applyFont="1" applyFill="1" applyBorder="1" applyAlignment="1" applyProtection="1">
      <alignment horizontal="center" vertical="center" wrapText="1"/>
      <protection locked="0"/>
    </xf>
    <xf numFmtId="171" fontId="4" fillId="6" borderId="5" xfId="0" applyNumberFormat="1" applyFont="1" applyFill="1" applyBorder="1" applyAlignment="1" applyProtection="1">
      <alignment horizontal="center" vertical="center" wrapText="1"/>
      <protection locked="0"/>
    </xf>
    <xf numFmtId="171" fontId="4" fillId="3" borderId="43" xfId="0" applyNumberFormat="1" applyFont="1" applyFill="1" applyBorder="1" applyAlignment="1" applyProtection="1">
      <alignment horizontal="center" vertical="center" wrapText="1"/>
      <protection locked="0"/>
    </xf>
    <xf numFmtId="170" fontId="4" fillId="14" borderId="43" xfId="0" applyNumberFormat="1" applyFont="1" applyFill="1" applyBorder="1" applyAlignment="1" applyProtection="1">
      <alignment horizontal="left" vertical="center" wrapText="1"/>
      <protection locked="0"/>
    </xf>
    <xf numFmtId="0" fontId="14" fillId="3" borderId="5" xfId="0" applyFont="1" applyFill="1" applyBorder="1" applyAlignment="1" applyProtection="1">
      <alignment horizontal="left" vertical="center" wrapText="1"/>
    </xf>
    <xf numFmtId="0" fontId="14" fillId="3" borderId="36" xfId="0" applyNumberFormat="1" applyFont="1" applyFill="1" applyBorder="1" applyAlignment="1" applyProtection="1">
      <alignment horizontal="center" vertical="center" wrapText="1"/>
    </xf>
    <xf numFmtId="164" fontId="14" fillId="3" borderId="7" xfId="0" applyNumberFormat="1" applyFont="1" applyFill="1" applyBorder="1" applyAlignment="1" applyProtection="1">
      <alignment horizontal="right" vertical="center" wrapText="1"/>
    </xf>
    <xf numFmtId="0" fontId="6" fillId="0" borderId="0" xfId="0" applyFont="1" applyBorder="1" applyAlignment="1" applyProtection="1">
      <alignment horizontal="left"/>
    </xf>
    <xf numFmtId="0" fontId="2" fillId="0" borderId="0" xfId="0" applyFont="1" applyAlignment="1" applyProtection="1">
      <alignment horizontal="left" vertical="center" wrapText="1"/>
    </xf>
    <xf numFmtId="0" fontId="14" fillId="3" borderId="31" xfId="0" applyFont="1" applyFill="1" applyBorder="1" applyAlignment="1" applyProtection="1">
      <alignment horizontal="center" vertical="center" wrapText="1"/>
    </xf>
    <xf numFmtId="167" fontId="14" fillId="3" borderId="43" xfId="2" applyNumberFormat="1" applyFont="1" applyFill="1" applyBorder="1" applyAlignment="1" applyProtection="1">
      <alignment horizontal="right" vertical="center" wrapText="1"/>
    </xf>
    <xf numFmtId="0" fontId="14" fillId="3" borderId="52" xfId="0" applyFont="1" applyFill="1" applyBorder="1" applyAlignment="1" applyProtection="1">
      <alignment horizontal="center" vertical="center" wrapText="1"/>
    </xf>
    <xf numFmtId="168" fontId="1" fillId="3" borderId="0" xfId="0" applyNumberFormat="1" applyFont="1" applyFill="1" applyAlignment="1" applyProtection="1">
      <alignment horizontal="left"/>
    </xf>
    <xf numFmtId="0" fontId="2" fillId="0" borderId="0" xfId="0" applyFont="1" applyBorder="1" applyAlignment="1" applyProtection="1">
      <alignment horizontal="left" vertical="center"/>
    </xf>
    <xf numFmtId="0" fontId="3" fillId="0" borderId="0" xfId="0" applyFont="1" applyAlignment="1" applyProtection="1"/>
    <xf numFmtId="165" fontId="14" fillId="3" borderId="43" xfId="3" applyFont="1" applyFill="1" applyBorder="1" applyAlignment="1" applyProtection="1">
      <alignment horizontal="right" vertical="center" wrapText="1"/>
    </xf>
    <xf numFmtId="14" fontId="2" fillId="10" borderId="14" xfId="0" applyNumberFormat="1" applyFont="1" applyFill="1" applyBorder="1" applyAlignment="1" applyProtection="1">
      <alignment horizontal="center" vertical="center" wrapText="1"/>
    </xf>
    <xf numFmtId="4" fontId="2" fillId="0" borderId="3" xfId="0" applyNumberFormat="1" applyFont="1" applyBorder="1" applyAlignment="1" applyProtection="1">
      <alignment horizontal="right" vertical="center" wrapText="1"/>
    </xf>
    <xf numFmtId="4" fontId="2" fillId="0" borderId="4" xfId="0" applyNumberFormat="1" applyFont="1" applyBorder="1" applyAlignment="1" applyProtection="1">
      <alignment horizontal="right" vertical="center" wrapText="1"/>
    </xf>
    <xf numFmtId="0" fontId="2" fillId="4" borderId="14" xfId="0" applyNumberFormat="1" applyFont="1" applyFill="1" applyBorder="1" applyAlignment="1" applyProtection="1">
      <alignment horizontal="center" vertical="center" wrapText="1"/>
    </xf>
    <xf numFmtId="0" fontId="14" fillId="5" borderId="43" xfId="0" applyFont="1" applyFill="1" applyBorder="1" applyAlignment="1" applyProtection="1">
      <alignment horizontal="left" vertical="center" wrapText="1"/>
      <protection locked="0"/>
    </xf>
    <xf numFmtId="165" fontId="14" fillId="5" borderId="43" xfId="3" applyFont="1" applyFill="1" applyBorder="1" applyAlignment="1" applyProtection="1">
      <alignment horizontal="right" vertical="center" wrapText="1"/>
    </xf>
    <xf numFmtId="165" fontId="14" fillId="3" borderId="4" xfId="3" applyFont="1" applyFill="1" applyBorder="1" applyAlignment="1" applyProtection="1">
      <alignment horizontal="right" vertical="center" wrapText="1"/>
    </xf>
    <xf numFmtId="0" fontId="6" fillId="3"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9" fillId="3" borderId="0" xfId="0" applyFont="1" applyFill="1" applyAlignment="1" applyProtection="1">
      <alignment horizontal="left" vertical="center"/>
    </xf>
    <xf numFmtId="0" fontId="16" fillId="3" borderId="0" xfId="0" applyFont="1" applyFill="1" applyAlignment="1" applyProtection="1">
      <alignment horizontal="left" vertical="center"/>
    </xf>
    <xf numFmtId="0" fontId="31" fillId="3" borderId="0" xfId="0" applyFont="1" applyFill="1" applyAlignment="1" applyProtection="1">
      <alignment horizontal="left" vertical="center"/>
    </xf>
    <xf numFmtId="171" fontId="4" fillId="3" borderId="13" xfId="0" applyNumberFormat="1" applyFont="1" applyFill="1" applyBorder="1" applyAlignment="1" applyProtection="1">
      <alignment horizontal="center" vertical="center" wrapText="1"/>
    </xf>
    <xf numFmtId="170" fontId="14" fillId="3" borderId="5" xfId="0" applyNumberFormat="1" applyFont="1" applyFill="1" applyBorder="1" applyAlignment="1" applyProtection="1">
      <alignment horizontal="left" vertical="center" wrapText="1"/>
      <protection locked="0"/>
    </xf>
    <xf numFmtId="0" fontId="14" fillId="3" borderId="43" xfId="0" applyFont="1" applyFill="1" applyBorder="1" applyAlignment="1" applyProtection="1">
      <alignment horizontal="center" vertical="center" wrapText="1"/>
      <protection locked="0"/>
    </xf>
    <xf numFmtId="171" fontId="14" fillId="3" borderId="43" xfId="0" applyNumberFormat="1" applyFont="1" applyFill="1" applyBorder="1" applyAlignment="1" applyProtection="1">
      <alignment horizontal="center" vertical="center" wrapText="1"/>
      <protection locked="0"/>
    </xf>
    <xf numFmtId="170" fontId="14" fillId="3" borderId="43" xfId="0" applyNumberFormat="1" applyFont="1" applyFill="1" applyBorder="1" applyAlignment="1" applyProtection="1">
      <alignment horizontal="center" vertical="center" wrapText="1"/>
      <protection locked="0"/>
    </xf>
    <xf numFmtId="2" fontId="14" fillId="3" borderId="12" xfId="0" applyNumberFormat="1" applyFont="1" applyFill="1" applyBorder="1" applyAlignment="1" applyProtection="1">
      <alignment horizontal="right" vertical="center" wrapText="1"/>
      <protection locked="0"/>
    </xf>
    <xf numFmtId="165" fontId="14" fillId="3" borderId="43" xfId="3" applyFont="1" applyFill="1" applyBorder="1" applyAlignment="1" applyProtection="1">
      <alignment horizontal="right" vertical="center" wrapText="1"/>
      <protection locked="0"/>
    </xf>
    <xf numFmtId="165" fontId="14" fillId="3" borderId="44" xfId="3" applyNumberFormat="1" applyFont="1" applyFill="1" applyBorder="1" applyAlignment="1" applyProtection="1">
      <alignment horizontal="center" vertical="center" wrapText="1"/>
    </xf>
    <xf numFmtId="165" fontId="14" fillId="3" borderId="34" xfId="3" applyFont="1" applyFill="1" applyBorder="1" applyAlignment="1" applyProtection="1">
      <alignment horizontal="right" vertical="center" wrapText="1"/>
      <protection locked="0"/>
    </xf>
    <xf numFmtId="165" fontId="14" fillId="3" borderId="53" xfId="3" applyFont="1" applyFill="1" applyBorder="1" applyAlignment="1" applyProtection="1">
      <alignment horizontal="right" vertical="center" wrapText="1"/>
      <protection locked="0"/>
    </xf>
    <xf numFmtId="0" fontId="14" fillId="3" borderId="43" xfId="0" applyNumberFormat="1" applyFont="1" applyFill="1" applyBorder="1" applyAlignment="1" applyProtection="1">
      <alignment horizontal="right" vertical="center" wrapText="1"/>
      <protection locked="0"/>
    </xf>
    <xf numFmtId="167" fontId="14" fillId="6" borderId="4" xfId="0" applyNumberFormat="1" applyFont="1" applyFill="1" applyBorder="1" applyAlignment="1" applyProtection="1">
      <alignment horizontal="right" vertical="center" wrapText="1"/>
      <protection locked="0"/>
    </xf>
    <xf numFmtId="0" fontId="26" fillId="8" borderId="15" xfId="0" applyFont="1" applyFill="1" applyBorder="1" applyAlignment="1" applyProtection="1">
      <alignment horizontal="centerContinuous" vertical="center"/>
    </xf>
    <xf numFmtId="0" fontId="26" fillId="8" borderId="0" xfId="0" applyFont="1" applyFill="1" applyBorder="1" applyAlignment="1" applyProtection="1">
      <alignment horizontal="centerContinuous" vertical="center"/>
    </xf>
    <xf numFmtId="0" fontId="26" fillId="8" borderId="16" xfId="0" applyFont="1" applyFill="1" applyBorder="1" applyAlignment="1" applyProtection="1">
      <alignment horizontal="centerContinuous" vertical="center"/>
    </xf>
    <xf numFmtId="0" fontId="28" fillId="8" borderId="15" xfId="0" applyFont="1" applyFill="1" applyBorder="1" applyAlignment="1" applyProtection="1">
      <alignment horizontal="centerContinuous" vertical="center"/>
    </xf>
    <xf numFmtId="0" fontId="28" fillId="8" borderId="0" xfId="0" applyFont="1" applyFill="1" applyBorder="1" applyAlignment="1" applyProtection="1">
      <alignment horizontal="centerContinuous" vertical="center"/>
    </xf>
    <xf numFmtId="0" fontId="28" fillId="8" borderId="16" xfId="0" applyFont="1" applyFill="1" applyBorder="1" applyAlignment="1" applyProtection="1">
      <alignment horizontal="centerContinuous" vertical="center"/>
    </xf>
    <xf numFmtId="0" fontId="29" fillId="8" borderId="15" xfId="7" applyFont="1" applyFill="1" applyBorder="1" applyAlignment="1" applyProtection="1">
      <alignment horizontal="centerContinuous" vertical="center"/>
    </xf>
    <xf numFmtId="0" fontId="29" fillId="8" borderId="0" xfId="7" applyFont="1" applyFill="1" applyBorder="1" applyAlignment="1" applyProtection="1">
      <alignment horizontal="centerContinuous" vertical="center"/>
    </xf>
    <xf numFmtId="0" fontId="29" fillId="8" borderId="16" xfId="7" applyFont="1" applyFill="1" applyBorder="1" applyAlignment="1" applyProtection="1">
      <alignment horizontal="centerContinuous" vertical="center"/>
    </xf>
    <xf numFmtId="0" fontId="16" fillId="8" borderId="15" xfId="0" applyFont="1" applyFill="1" applyBorder="1" applyAlignment="1" applyProtection="1">
      <alignment horizontal="centerContinuous" vertical="center"/>
    </xf>
    <xf numFmtId="0" fontId="16" fillId="8" borderId="0" xfId="0" applyFont="1" applyFill="1" applyBorder="1" applyAlignment="1" applyProtection="1">
      <alignment horizontal="centerContinuous" vertical="center"/>
    </xf>
    <xf numFmtId="0" fontId="16" fillId="8" borderId="16" xfId="0" applyFont="1" applyFill="1" applyBorder="1" applyAlignment="1" applyProtection="1">
      <alignment horizontal="centerContinuous" vertical="center"/>
    </xf>
    <xf numFmtId="0" fontId="0" fillId="8" borderId="15" xfId="0" applyFill="1" applyBorder="1" applyAlignment="1" applyProtection="1">
      <alignment horizontal="centerContinuous"/>
    </xf>
    <xf numFmtId="0" fontId="0" fillId="8" borderId="0" xfId="0" applyFill="1" applyBorder="1" applyAlignment="1" applyProtection="1">
      <alignment horizontal="centerContinuous"/>
    </xf>
    <xf numFmtId="0" fontId="0" fillId="8" borderId="16" xfId="0" applyFill="1" applyBorder="1" applyAlignment="1" applyProtection="1">
      <alignment horizontal="centerContinuous"/>
    </xf>
    <xf numFmtId="0" fontId="16" fillId="8" borderId="15" xfId="0" applyFont="1" applyFill="1" applyBorder="1" applyAlignment="1" applyProtection="1">
      <alignment horizontal="centerContinuous"/>
    </xf>
    <xf numFmtId="0" fontId="16" fillId="8" borderId="0" xfId="0" applyFont="1" applyFill="1" applyBorder="1" applyAlignment="1" applyProtection="1">
      <alignment horizontal="centerContinuous"/>
    </xf>
    <xf numFmtId="0" fontId="16" fillId="8" borderId="16" xfId="0" applyFont="1" applyFill="1" applyBorder="1" applyAlignment="1" applyProtection="1">
      <alignment horizontal="centerContinuous"/>
    </xf>
    <xf numFmtId="0" fontId="30" fillId="4" borderId="54" xfId="0" applyFont="1" applyFill="1" applyBorder="1" applyAlignment="1" applyProtection="1">
      <alignment horizontal="center" vertical="center" wrapText="1"/>
    </xf>
    <xf numFmtId="14" fontId="14" fillId="3" borderId="1" xfId="0" applyNumberFormat="1" applyFont="1" applyFill="1" applyBorder="1" applyAlignment="1" applyProtection="1">
      <alignment vertical="center" wrapText="1"/>
    </xf>
    <xf numFmtId="0" fontId="4" fillId="3" borderId="3" xfId="0" applyFont="1" applyFill="1" applyBorder="1" applyAlignment="1" applyProtection="1">
      <alignment horizontal="center" vertical="center" wrapText="1"/>
    </xf>
    <xf numFmtId="171" fontId="4" fillId="3" borderId="3" xfId="0" applyNumberFormat="1" applyFont="1" applyFill="1" applyBorder="1" applyAlignment="1" applyProtection="1">
      <alignment horizontal="center" vertical="center" wrapText="1"/>
    </xf>
    <xf numFmtId="0" fontId="14" fillId="3" borderId="3" xfId="0" applyFont="1" applyFill="1" applyBorder="1" applyAlignment="1" applyProtection="1">
      <alignment horizontal="left" vertical="center" wrapText="1"/>
    </xf>
    <xf numFmtId="2" fontId="14" fillId="3" borderId="19" xfId="0" applyNumberFormat="1" applyFont="1" applyFill="1" applyBorder="1" applyAlignment="1" applyProtection="1">
      <alignment horizontal="right" vertical="center" wrapText="1"/>
    </xf>
    <xf numFmtId="165" fontId="14" fillId="3" borderId="3" xfId="3" applyFont="1" applyFill="1" applyBorder="1" applyAlignment="1" applyProtection="1">
      <alignment horizontal="right" vertical="center" wrapText="1"/>
    </xf>
    <xf numFmtId="165" fontId="14" fillId="3" borderId="4" xfId="3" applyFont="1" applyFill="1" applyBorder="1" applyAlignment="1" applyProtection="1">
      <alignment horizontal="center" vertical="center" wrapText="1"/>
    </xf>
    <xf numFmtId="165" fontId="14" fillId="3" borderId="19" xfId="3" applyFont="1" applyFill="1" applyBorder="1" applyAlignment="1" applyProtection="1">
      <alignment horizontal="right" vertical="center" wrapText="1"/>
    </xf>
    <xf numFmtId="165" fontId="14" fillId="3" borderId="20" xfId="3" applyFont="1" applyFill="1" applyBorder="1" applyAlignment="1" applyProtection="1">
      <alignment horizontal="right" vertical="center" wrapText="1"/>
    </xf>
    <xf numFmtId="0" fontId="14" fillId="3" borderId="4" xfId="0" applyNumberFormat="1" applyFont="1" applyFill="1" applyBorder="1" applyAlignment="1" applyProtection="1">
      <alignment horizontal="center" vertical="center" wrapText="1"/>
    </xf>
    <xf numFmtId="14" fontId="2" fillId="8" borderId="43" xfId="0" applyNumberFormat="1" applyFont="1" applyFill="1" applyBorder="1" applyAlignment="1" applyProtection="1">
      <alignment horizontal="center" vertical="center" wrapText="1"/>
    </xf>
    <xf numFmtId="0" fontId="2" fillId="8" borderId="43" xfId="0" applyFont="1" applyFill="1" applyBorder="1" applyAlignment="1" applyProtection="1">
      <alignment horizontal="center" vertical="center" wrapText="1"/>
    </xf>
    <xf numFmtId="2" fontId="2" fillId="8" borderId="42" xfId="0" applyNumberFormat="1" applyFont="1" applyFill="1" applyBorder="1" applyAlignment="1" applyProtection="1">
      <alignment horizontal="center" vertical="center" wrapText="1"/>
    </xf>
    <xf numFmtId="165" fontId="2" fillId="8" borderId="43" xfId="3" applyFont="1" applyFill="1" applyBorder="1" applyAlignment="1" applyProtection="1">
      <alignment horizontal="center" vertical="center" wrapText="1"/>
    </xf>
    <xf numFmtId="165" fontId="2" fillId="8" borderId="7" xfId="3" applyFont="1" applyFill="1" applyBorder="1" applyAlignment="1" applyProtection="1">
      <alignment horizontal="center" vertical="center" wrapText="1"/>
    </xf>
    <xf numFmtId="165" fontId="2" fillId="8" borderId="36" xfId="3" applyFont="1" applyFill="1" applyBorder="1" applyAlignment="1" applyProtection="1">
      <alignment horizontal="center" vertical="center" wrapText="1"/>
    </xf>
    <xf numFmtId="165" fontId="2" fillId="8" borderId="44" xfId="3" applyFont="1" applyFill="1" applyBorder="1" applyAlignment="1" applyProtection="1">
      <alignment horizontal="center" vertical="center" wrapText="1"/>
    </xf>
    <xf numFmtId="0" fontId="2" fillId="8" borderId="7" xfId="0" applyFont="1" applyFill="1" applyBorder="1" applyAlignment="1" applyProtection="1">
      <alignment horizontal="center" vertical="center" wrapText="1"/>
    </xf>
    <xf numFmtId="49" fontId="4" fillId="10" borderId="31" xfId="0" applyNumberFormat="1" applyFont="1" applyFill="1" applyBorder="1" applyAlignment="1" applyProtection="1">
      <alignment horizontal="left" vertical="center" wrapText="1"/>
      <protection locked="0"/>
    </xf>
    <xf numFmtId="49" fontId="4" fillId="10" borderId="43" xfId="0" applyNumberFormat="1" applyFont="1" applyFill="1" applyBorder="1" applyAlignment="1" applyProtection="1">
      <alignment horizontal="left" vertical="center" wrapText="1"/>
      <protection locked="0"/>
    </xf>
    <xf numFmtId="49" fontId="4" fillId="12" borderId="7" xfId="0" applyNumberFormat="1" applyFont="1" applyFill="1" applyBorder="1" applyAlignment="1" applyProtection="1">
      <alignment horizontal="center" vertical="center" wrapText="1"/>
      <protection locked="0"/>
    </xf>
    <xf numFmtId="49" fontId="4" fillId="0" borderId="43" xfId="0" applyNumberFormat="1" applyFont="1" applyFill="1" applyBorder="1" applyAlignment="1" applyProtection="1">
      <alignment horizontal="center" vertical="center" wrapText="1"/>
      <protection locked="0"/>
    </xf>
    <xf numFmtId="49" fontId="4" fillId="14" borderId="43" xfId="0" applyNumberFormat="1" applyFont="1" applyFill="1" applyBorder="1" applyAlignment="1" applyProtection="1">
      <alignment horizontal="center" vertical="center" wrapText="1"/>
      <protection locked="0"/>
    </xf>
    <xf numFmtId="49" fontId="4" fillId="0" borderId="5" xfId="0" applyNumberFormat="1" applyFont="1" applyFill="1" applyBorder="1" applyAlignment="1" applyProtection="1">
      <alignment horizontal="center" vertical="center" wrapText="1"/>
      <protection locked="0"/>
    </xf>
    <xf numFmtId="0" fontId="35" fillId="0" borderId="0" xfId="0" applyFont="1" applyAlignment="1" applyProtection="1">
      <alignment horizontal="center" vertical="center"/>
    </xf>
    <xf numFmtId="0" fontId="32" fillId="0" borderId="0" xfId="0" applyFont="1" applyAlignment="1" applyProtection="1">
      <alignment horizontal="center" vertical="center"/>
    </xf>
    <xf numFmtId="0" fontId="36" fillId="0" borderId="0" xfId="0" applyFont="1" applyAlignment="1" applyProtection="1">
      <alignment horizontal="center" vertical="center"/>
    </xf>
    <xf numFmtId="0" fontId="37" fillId="0" borderId="0" xfId="0" applyFont="1" applyAlignment="1" applyProtection="1">
      <alignment horizontal="center" vertical="center"/>
    </xf>
    <xf numFmtId="0" fontId="30" fillId="0" borderId="0" xfId="0" applyFont="1" applyAlignment="1" applyProtection="1">
      <alignment horizontal="center" vertical="center"/>
    </xf>
    <xf numFmtId="0" fontId="3" fillId="0" borderId="0" xfId="0" applyFont="1" applyAlignment="1" applyProtection="1">
      <alignment horizontal="center" vertical="center"/>
    </xf>
    <xf numFmtId="0" fontId="39" fillId="0" borderId="0" xfId="0" applyFont="1" applyAlignment="1" applyProtection="1">
      <alignment horizontal="center" vertical="center"/>
    </xf>
    <xf numFmtId="0" fontId="38" fillId="0" borderId="0" xfId="0" applyNumberFormat="1" applyFont="1" applyBorder="1" applyAlignment="1" applyProtection="1">
      <alignment horizontal="right"/>
    </xf>
    <xf numFmtId="0" fontId="19" fillId="0" borderId="0" xfId="0" applyFont="1" applyAlignment="1" applyProtection="1">
      <alignment horizontal="center" vertical="center" textRotation="90" wrapText="1"/>
    </xf>
    <xf numFmtId="0" fontId="19" fillId="0" borderId="0" xfId="0" applyFont="1" applyAlignment="1" applyProtection="1">
      <alignment horizontal="center" vertical="center" textRotation="90"/>
    </xf>
    <xf numFmtId="0" fontId="14" fillId="3" borderId="6" xfId="0" applyFont="1" applyFill="1" applyBorder="1" applyAlignment="1" applyProtection="1">
      <alignment horizontal="left" vertical="top" wrapText="1"/>
    </xf>
    <xf numFmtId="165" fontId="4" fillId="0" borderId="43" xfId="3" applyNumberFormat="1" applyFont="1" applyFill="1" applyBorder="1" applyAlignment="1" applyProtection="1">
      <alignment horizontal="right" vertical="center" wrapText="1"/>
    </xf>
    <xf numFmtId="0" fontId="26" fillId="0" borderId="0" xfId="0" applyFont="1" applyProtection="1"/>
    <xf numFmtId="165" fontId="17" fillId="4" borderId="38" xfId="3" applyNumberFormat="1" applyFont="1" applyFill="1" applyBorder="1" applyAlignment="1">
      <alignment horizontal="center" vertical="center" wrapText="1"/>
    </xf>
    <xf numFmtId="14" fontId="14" fillId="3" borderId="43" xfId="0" applyNumberFormat="1" applyFont="1" applyFill="1" applyBorder="1" applyAlignment="1" applyProtection="1">
      <alignment horizontal="left" vertical="center" wrapText="1"/>
    </xf>
    <xf numFmtId="165" fontId="4" fillId="13" borderId="43" xfId="3" applyNumberFormat="1" applyFont="1" applyFill="1" applyBorder="1" applyAlignment="1" applyProtection="1">
      <alignment horizontal="center" vertical="center" wrapText="1"/>
    </xf>
    <xf numFmtId="0" fontId="34" fillId="0" borderId="0" xfId="0" applyFont="1" applyAlignment="1" applyProtection="1">
      <alignment horizontal="center" vertical="center"/>
    </xf>
    <xf numFmtId="0" fontId="2" fillId="0" borderId="0" xfId="0" applyFont="1" applyAlignment="1" applyProtection="1">
      <alignment horizontal="center" vertical="top" wrapText="1"/>
    </xf>
    <xf numFmtId="0" fontId="5" fillId="10" borderId="31" xfId="0" applyFont="1" applyFill="1" applyBorder="1" applyAlignment="1">
      <alignment horizontal="left" vertical="center" wrapText="1"/>
    </xf>
    <xf numFmtId="0" fontId="19" fillId="0" borderId="0" xfId="0" applyNumberFormat="1" applyFont="1" applyAlignment="1" applyProtection="1">
      <alignment horizontal="center" vertical="center"/>
    </xf>
    <xf numFmtId="0" fontId="14" fillId="3" borderId="31" xfId="0" applyFont="1" applyFill="1" applyBorder="1" applyAlignment="1" applyProtection="1">
      <alignment horizontal="left" vertical="top" wrapText="1"/>
      <protection locked="0"/>
    </xf>
    <xf numFmtId="0" fontId="26" fillId="3" borderId="15" xfId="0" applyFont="1" applyFill="1" applyBorder="1" applyAlignment="1" applyProtection="1">
      <alignment horizontal="left" vertical="top"/>
    </xf>
    <xf numFmtId="0" fontId="26" fillId="3" borderId="0" xfId="0" applyFont="1" applyFill="1" applyBorder="1" applyAlignment="1" applyProtection="1">
      <alignment horizontal="left" vertical="top"/>
    </xf>
    <xf numFmtId="0" fontId="28" fillId="3" borderId="15" xfId="0" applyFont="1" applyFill="1" applyBorder="1" applyAlignment="1" applyProtection="1">
      <alignment horizontal="left" vertical="top"/>
    </xf>
    <xf numFmtId="0" fontId="28" fillId="3" borderId="0" xfId="0" applyFont="1" applyFill="1" applyBorder="1" applyAlignment="1" applyProtection="1">
      <alignment horizontal="left" vertical="top"/>
    </xf>
    <xf numFmtId="0" fontId="16" fillId="4" borderId="0" xfId="0" applyFont="1" applyFill="1" applyAlignment="1" applyProtection="1">
      <alignment horizontal="left" vertical="center"/>
      <protection locked="0"/>
    </xf>
    <xf numFmtId="0" fontId="26" fillId="8" borderId="15" xfId="0" applyFont="1" applyFill="1" applyBorder="1" applyAlignment="1" applyProtection="1">
      <alignment horizontal="center" vertical="top"/>
    </xf>
    <xf numFmtId="0" fontId="26" fillId="8" borderId="0" xfId="0" applyFont="1" applyFill="1" applyBorder="1" applyAlignment="1" applyProtection="1">
      <alignment horizontal="center" vertical="top"/>
    </xf>
    <xf numFmtId="0" fontId="26" fillId="8" borderId="16" xfId="0" applyFont="1" applyFill="1" applyBorder="1" applyAlignment="1" applyProtection="1">
      <alignment horizontal="center" vertical="top"/>
    </xf>
    <xf numFmtId="0" fontId="32" fillId="8" borderId="55" xfId="0" applyFont="1" applyFill="1" applyBorder="1" applyAlignment="1" applyProtection="1">
      <alignment horizontal="left" vertical="top"/>
    </xf>
    <xf numFmtId="0" fontId="28" fillId="8" borderId="26" xfId="0" applyFont="1" applyFill="1" applyBorder="1" applyAlignment="1" applyProtection="1">
      <alignment horizontal="left" vertical="top"/>
    </xf>
    <xf numFmtId="0" fontId="28" fillId="8" borderId="56" xfId="0" applyFont="1" applyFill="1" applyBorder="1" applyAlignment="1" applyProtection="1">
      <alignment horizontal="left" vertical="top"/>
    </xf>
    <xf numFmtId="0" fontId="3" fillId="4" borderId="0" xfId="0" applyFont="1" applyFill="1" applyAlignment="1" applyProtection="1">
      <alignment horizontal="left" vertical="center"/>
      <protection locked="0"/>
    </xf>
    <xf numFmtId="0" fontId="17" fillId="4" borderId="0" xfId="0" applyFont="1" applyFill="1" applyAlignment="1" applyProtection="1">
      <alignment horizontal="left" vertical="center"/>
      <protection locked="0"/>
    </xf>
    <xf numFmtId="0" fontId="19" fillId="4" borderId="0" xfId="0" applyFont="1" applyFill="1" applyAlignment="1" applyProtection="1">
      <alignment horizontal="left" vertical="center"/>
      <protection locked="0"/>
    </xf>
    <xf numFmtId="0" fontId="3" fillId="0" borderId="0" xfId="0" applyFont="1" applyAlignment="1" applyProtection="1">
      <alignment horizontal="left"/>
    </xf>
    <xf numFmtId="0" fontId="18" fillId="8" borderId="0" xfId="0" applyFont="1" applyFill="1" applyAlignment="1" applyProtection="1">
      <alignment horizontal="left" vertical="justify" wrapText="1" indent="1"/>
    </xf>
    <xf numFmtId="0" fontId="3" fillId="0" borderId="0" xfId="0" applyFont="1" applyAlignment="1" applyProtection="1"/>
    <xf numFmtId="0" fontId="3" fillId="3" borderId="0" xfId="0" applyFont="1" applyFill="1" applyAlignment="1" applyProtection="1">
      <alignment horizontal="center" vertical="center"/>
    </xf>
    <xf numFmtId="0" fontId="6" fillId="3" borderId="0" xfId="0" applyFont="1" applyFill="1" applyAlignment="1" applyProtection="1">
      <alignment horizontal="center" vertical="center"/>
    </xf>
    <xf numFmtId="0" fontId="16" fillId="4" borderId="0" xfId="0" applyFont="1" applyFill="1" applyAlignment="1" applyProtection="1">
      <alignment horizontal="center" vertical="center"/>
      <protection locked="0"/>
    </xf>
    <xf numFmtId="0" fontId="16" fillId="3" borderId="0" xfId="0" applyFont="1" applyFill="1" applyAlignment="1" applyProtection="1">
      <alignment horizontal="center" vertical="center"/>
    </xf>
    <xf numFmtId="168" fontId="6" fillId="4" borderId="0" xfId="0" applyNumberFormat="1" applyFont="1" applyFill="1" applyAlignment="1" applyProtection="1">
      <alignment horizontal="left" vertical="center"/>
      <protection locked="0"/>
    </xf>
    <xf numFmtId="0" fontId="32" fillId="8" borderId="15" xfId="0" applyFont="1" applyFill="1" applyBorder="1" applyAlignment="1" applyProtection="1">
      <alignment horizontal="left" vertical="top"/>
    </xf>
    <xf numFmtId="0" fontId="28" fillId="8" borderId="0" xfId="0" applyFont="1" applyFill="1" applyBorder="1" applyAlignment="1" applyProtection="1">
      <alignment horizontal="left" vertical="top"/>
    </xf>
    <xf numFmtId="0" fontId="28" fillId="8" borderId="16" xfId="0" applyFont="1" applyFill="1" applyBorder="1" applyAlignment="1" applyProtection="1">
      <alignment horizontal="left" vertical="top"/>
    </xf>
    <xf numFmtId="168" fontId="6" fillId="3" borderId="0" xfId="0" applyNumberFormat="1" applyFont="1" applyFill="1" applyAlignment="1" applyProtection="1">
      <alignment horizontal="left" vertical="center"/>
    </xf>
    <xf numFmtId="0" fontId="26" fillId="8" borderId="15" xfId="0" applyFont="1" applyFill="1" applyBorder="1" applyAlignment="1" applyProtection="1">
      <alignment horizontal="left" vertical="top"/>
    </xf>
    <xf numFmtId="0" fontId="26" fillId="8" borderId="0" xfId="0" applyFont="1" applyFill="1" applyBorder="1" applyAlignment="1" applyProtection="1">
      <alignment horizontal="left" vertical="top"/>
    </xf>
    <xf numFmtId="0" fontId="26" fillId="8" borderId="16" xfId="0" applyFont="1" applyFill="1" applyBorder="1" applyAlignment="1" applyProtection="1">
      <alignment horizontal="left" vertical="top"/>
    </xf>
    <xf numFmtId="0" fontId="19" fillId="8" borderId="15" xfId="0" applyFont="1" applyFill="1" applyBorder="1" applyAlignment="1" applyProtection="1">
      <alignment horizontal="center" vertical="top"/>
    </xf>
    <xf numFmtId="0" fontId="6" fillId="0" borderId="0" xfId="0" applyFont="1" applyBorder="1" applyAlignment="1" applyProtection="1">
      <alignment horizontal="left"/>
    </xf>
    <xf numFmtId="0" fontId="4" fillId="0" borderId="0" xfId="0" applyFont="1" applyBorder="1" applyAlignment="1" applyProtection="1">
      <alignment horizontal="left" wrapText="1"/>
    </xf>
    <xf numFmtId="0" fontId="5" fillId="0" borderId="0" xfId="0" applyFont="1" applyAlignment="1" applyProtection="1">
      <alignment horizontal="left" vertical="center" wrapText="1"/>
    </xf>
    <xf numFmtId="0" fontId="19" fillId="0" borderId="0" xfId="0" applyFont="1" applyAlignment="1" applyProtection="1">
      <alignment horizontal="center" vertical="center" textRotation="90" wrapText="1"/>
    </xf>
    <xf numFmtId="0" fontId="5" fillId="0" borderId="0" xfId="0" applyFont="1" applyAlignment="1" applyProtection="1">
      <alignment horizontal="left" wrapText="1"/>
    </xf>
    <xf numFmtId="0" fontId="24" fillId="0" borderId="0" xfId="0" applyFont="1" applyAlignment="1" applyProtection="1">
      <alignment horizontal="center" vertical="center" textRotation="90" wrapText="1"/>
    </xf>
    <xf numFmtId="0" fontId="18" fillId="4" borderId="25" xfId="0" applyFont="1" applyFill="1" applyBorder="1" applyAlignment="1" applyProtection="1">
      <alignment horizontal="center" vertical="center" wrapText="1"/>
    </xf>
    <xf numFmtId="0" fontId="18" fillId="4" borderId="26" xfId="0" applyFont="1" applyFill="1" applyBorder="1" applyAlignment="1" applyProtection="1">
      <alignment horizontal="center" vertical="center" wrapText="1"/>
    </xf>
    <xf numFmtId="0" fontId="30" fillId="4" borderId="17" xfId="0" applyFont="1" applyFill="1" applyBorder="1" applyAlignment="1" applyProtection="1">
      <alignment horizontal="center" vertical="center" wrapText="1"/>
    </xf>
    <xf numFmtId="0" fontId="0" fillId="4" borderId="18" xfId="0" applyFill="1" applyBorder="1" applyAlignment="1" applyProtection="1">
      <alignment horizontal="center" vertical="center" wrapText="1"/>
    </xf>
    <xf numFmtId="0" fontId="6" fillId="0" borderId="0" xfId="0" applyFont="1" applyBorder="1" applyAlignment="1" applyProtection="1">
      <alignment horizontal="left" vertical="center"/>
    </xf>
    <xf numFmtId="14" fontId="10" fillId="0" borderId="0" xfId="0" applyNumberFormat="1" applyFont="1" applyAlignment="1" applyProtection="1">
      <alignment vertical="center"/>
    </xf>
    <xf numFmtId="0" fontId="8" fillId="2" borderId="25" xfId="0" applyFont="1" applyFill="1" applyBorder="1" applyAlignment="1" applyProtection="1">
      <alignment horizontal="center" vertical="center" wrapText="1"/>
    </xf>
    <xf numFmtId="0" fontId="8" fillId="2" borderId="26" xfId="0" applyFont="1" applyFill="1" applyBorder="1" applyAlignment="1" applyProtection="1">
      <alignment horizontal="center" vertical="center" wrapText="1"/>
    </xf>
    <xf numFmtId="0" fontId="8" fillId="2" borderId="27" xfId="0" applyFont="1" applyFill="1" applyBorder="1" applyAlignment="1" applyProtection="1">
      <alignment horizontal="center" vertical="center" wrapText="1"/>
    </xf>
    <xf numFmtId="0" fontId="8" fillId="2" borderId="34" xfId="0" applyFont="1" applyFill="1" applyBorder="1" applyAlignment="1" applyProtection="1">
      <alignment horizontal="center" vertical="center" wrapText="1"/>
    </xf>
    <xf numFmtId="0" fontId="8" fillId="2" borderId="0" xfId="0" applyFont="1" applyFill="1" applyBorder="1" applyAlignment="1" applyProtection="1">
      <alignment horizontal="center" vertical="center" wrapText="1"/>
    </xf>
    <xf numFmtId="0" fontId="5" fillId="0" borderId="0" xfId="0" applyFont="1" applyAlignment="1" applyProtection="1">
      <alignment horizontal="left" vertical="top" wrapText="1"/>
    </xf>
    <xf numFmtId="0" fontId="8" fillId="0" borderId="34" xfId="0" applyFont="1" applyFill="1" applyBorder="1" applyAlignment="1" applyProtection="1">
      <alignment horizontal="center" vertical="center" wrapText="1"/>
    </xf>
    <xf numFmtId="0" fontId="5" fillId="0" borderId="0" xfId="0" applyFont="1" applyFill="1" applyBorder="1" applyAlignment="1" applyProtection="1">
      <alignment horizontal="center" vertical="center" wrapText="1"/>
    </xf>
    <xf numFmtId="0" fontId="5" fillId="0" borderId="34" xfId="0" applyFont="1" applyFill="1" applyBorder="1" applyAlignment="1" applyProtection="1">
      <alignment horizontal="center" vertical="center" wrapText="1"/>
    </xf>
    <xf numFmtId="0" fontId="4" fillId="0" borderId="0" xfId="0" applyFont="1" applyBorder="1" applyAlignment="1" applyProtection="1">
      <alignment horizontal="left" vertical="top" wrapText="1"/>
    </xf>
    <xf numFmtId="0" fontId="6" fillId="0" borderId="0" xfId="0" applyNumberFormat="1" applyFont="1" applyBorder="1" applyAlignment="1" applyProtection="1">
      <alignment horizontal="left" wrapText="1"/>
    </xf>
    <xf numFmtId="0" fontId="4" fillId="0" borderId="0" xfId="0" applyFont="1" applyBorder="1" applyAlignment="1" applyProtection="1">
      <alignment horizontal="left" vertical="center" wrapText="1"/>
    </xf>
    <xf numFmtId="0" fontId="6" fillId="0" borderId="0" xfId="0" applyNumberFormat="1" applyFont="1" applyBorder="1" applyAlignment="1" applyProtection="1">
      <alignment horizontal="left" vertical="center" wrapText="1"/>
    </xf>
    <xf numFmtId="0" fontId="8" fillId="0" borderId="16" xfId="0" applyFont="1" applyBorder="1" applyAlignment="1" applyProtection="1">
      <alignment horizontal="center" vertical="center" textRotation="90" wrapText="1"/>
    </xf>
    <xf numFmtId="0" fontId="4" fillId="0" borderId="0" xfId="0" applyNumberFormat="1" applyFont="1" applyBorder="1" applyAlignment="1" applyProtection="1">
      <alignment horizontal="left" vertical="center" wrapText="1"/>
    </xf>
  </cellXfs>
  <cellStyles count="8">
    <cellStyle name="Comma" xfId="1" builtinId="3"/>
    <cellStyle name="Comma 2" xfId="4"/>
    <cellStyle name="Currency" xfId="3" builtinId="4"/>
    <cellStyle name="Currency 2" xfId="5"/>
    <cellStyle name="Currency 3" xfId="6"/>
    <cellStyle name="Hyperlink" xfId="7" builtinId="8"/>
    <cellStyle name="Normal" xfId="0" builtinId="0"/>
    <cellStyle name="Percent" xfId="2" builtinId="5"/>
  </cellStyles>
  <dxfs count="226">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none">
          <fgColor indexed="64"/>
          <bgColor auto="1"/>
        </patternFill>
      </fill>
      <alignment horizontal="righ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30" formatCode="@"/>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0" hidden="0"/>
    </dxf>
    <dxf>
      <font>
        <strike val="0"/>
        <outline val="0"/>
        <shadow val="0"/>
        <u val="none"/>
        <vertAlign val="baseline"/>
        <sz val="10"/>
        <name val="Arial"/>
      </font>
      <fill>
        <patternFill patternType="solid">
          <fgColor indexed="64"/>
          <bgColor theme="2" tint="-9.9978637043366805E-2"/>
        </patternFill>
      </fill>
      <border diagonalUp="0" diagonalDown="0" outline="0">
        <left style="thin">
          <color auto="1"/>
        </left>
        <right style="thin">
          <color auto="1"/>
        </right>
        <top style="thin">
          <color indexed="64"/>
        </top>
        <bottom style="thin">
          <color indexed="64"/>
        </bottom>
      </border>
      <protection locked="0" hidden="0"/>
    </dxf>
    <dxf>
      <font>
        <strike val="0"/>
        <outline val="0"/>
        <shadow val="0"/>
        <u val="none"/>
        <vertAlign val="baseline"/>
        <sz val="10"/>
        <name val="Arial"/>
      </font>
      <fill>
        <patternFill patternType="solid">
          <fgColor indexed="64"/>
          <bgColor theme="2" tint="-9.9978637043366805E-2"/>
        </patternFill>
      </fill>
      <border diagonalUp="0" diagonalDown="0" outline="0">
        <left style="thin">
          <color auto="1"/>
        </left>
        <right style="thin">
          <color auto="1"/>
        </right>
        <top style="thin">
          <color indexed="64"/>
        </top>
        <bottom style="thin">
          <color indexed="64"/>
        </bottom>
      </border>
      <protection locked="0" hidden="0"/>
    </dxf>
    <dxf>
      <font>
        <strike val="0"/>
        <outline val="0"/>
        <shadow val="0"/>
        <u val="none"/>
        <vertAlign val="baseline"/>
        <sz val="10"/>
        <name val="Arial"/>
      </font>
      <fill>
        <patternFill patternType="solid">
          <fgColor indexed="64"/>
          <bgColor theme="2" tint="-9.9978637043366805E-2"/>
        </patternFill>
      </fill>
      <border diagonalUp="0" diagonalDown="0" outline="0">
        <left style="thin">
          <color auto="1"/>
        </left>
        <right style="thin">
          <color auto="1"/>
        </right>
        <top style="thin">
          <color indexed="64"/>
        </top>
        <bottom style="thin">
          <color indexed="64"/>
        </bottom>
      </border>
      <protection locked="0" hidden="0"/>
    </dxf>
    <dxf>
      <font>
        <strike val="0"/>
        <outline val="0"/>
        <shadow val="0"/>
        <u val="none"/>
        <vertAlign val="baseline"/>
        <sz val="10"/>
        <name val="Arial"/>
      </font>
      <fill>
        <patternFill patternType="solid">
          <fgColor indexed="64"/>
          <bgColor theme="2" tint="-9.9978637043366805E-2"/>
        </patternFill>
      </fill>
      <border diagonalUp="0" diagonalDown="0" outline="0">
        <left style="thin">
          <color indexed="64"/>
        </left>
        <right style="thin">
          <color auto="1"/>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left" vertical="center" textRotation="0" wrapText="1"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rgb="FFFF0000"/>
        </patternFill>
      </fill>
    </dxf>
    <dxf>
      <fill>
        <patternFill>
          <bgColor theme="2" tint="-9.9948118533890809E-2"/>
        </patternFill>
      </fill>
    </dxf>
    <dxf>
      <fill>
        <patternFill>
          <bgColor rgb="FFFF0000"/>
        </patternFill>
      </fill>
    </dxf>
    <dxf>
      <fill>
        <patternFill>
          <bgColor theme="2" tint="-9.9948118533890809E-2"/>
        </patternFill>
      </fill>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indexed="64"/>
        </top>
        <bottom/>
      </border>
      <protection locked="0" hidden="0"/>
    </dxf>
    <dxf>
      <font>
        <b val="0"/>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0" formatCode="General"/>
      <fill>
        <patternFill patternType="solid">
          <fgColor rgb="FF000000"/>
          <bgColor theme="0"/>
        </patternFill>
      </fill>
      <alignment horizontal="right" vertical="center" textRotation="0" wrapText="1"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0"/>
        <color auto="1"/>
        <name val="Arial"/>
        <scheme val="none"/>
      </font>
      <numFmt numFmtId="167" formatCode="&quot;$&quot;#,##0.00"/>
      <fill>
        <patternFill patternType="none">
          <fgColor rgb="FF000000"/>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78637043366805E-2"/>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78637043366805E-2"/>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border>
      <protection locked="0" hidden="0"/>
    </dxf>
    <dxf>
      <border outline="0">
        <top style="thin">
          <color indexed="64"/>
        </top>
      </border>
    </dxf>
    <dxf>
      <fill>
        <patternFill patternType="none">
          <bgColor auto="1"/>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fill>
        <patternFill patternType="none">
          <bgColor auto="1"/>
        </patternFill>
      </fill>
    </dxf>
    <dxf>
      <border outline="0">
        <bottom style="thin">
          <color indexed="64"/>
        </bottom>
      </border>
    </dxf>
    <dxf>
      <font>
        <b/>
        <i val="0"/>
        <strike val="0"/>
        <condense val="0"/>
        <extend val="0"/>
        <outline val="0"/>
        <shadow val="0"/>
        <u val="none"/>
        <vertAlign val="baseline"/>
        <sz val="10"/>
        <color auto="1"/>
        <name val="Arial"/>
        <scheme val="none"/>
      </font>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ill>
        <patternFill>
          <bgColor rgb="FFFF0000"/>
        </patternFill>
      </fill>
    </dxf>
    <dxf>
      <fill>
        <patternFill>
          <bgColor theme="2" tint="-9.9948118533890809E-2"/>
        </patternFill>
      </fill>
    </dxf>
    <dxf>
      <font>
        <strike val="0"/>
        <outline val="0"/>
        <shadow val="0"/>
        <u val="none"/>
        <vertAlign val="baseline"/>
        <sz val="10"/>
        <color auto="1"/>
        <name val="Arial"/>
        <scheme val="none"/>
      </font>
      <numFmt numFmtId="167" formatCode="&quot;$&quot;#,##0.00"/>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medium">
          <color auto="1"/>
        </right>
        <top style="thin">
          <color auto="1"/>
        </top>
        <bottom style="thin">
          <color auto="1"/>
        </bottom>
        <vertical/>
        <horizontal style="thin">
          <color auto="1"/>
        </horizontal>
      </border>
      <protection locked="1" hidden="0"/>
    </dxf>
    <dxf>
      <font>
        <b val="0"/>
        <i val="0"/>
        <strike val="0"/>
        <condense val="0"/>
        <extend val="0"/>
        <outline val="0"/>
        <shadow val="0"/>
        <u val="none"/>
        <vertAlign val="baseline"/>
        <sz val="10"/>
        <color auto="1"/>
        <name val="Arial"/>
        <scheme val="none"/>
      </font>
      <numFmt numFmtId="164" formatCode="&quot;$&quot;#,##0.00_);\(&quot;$&quot;#,##0.00\)"/>
      <fill>
        <patternFill patternType="solid">
          <fgColor indexed="64"/>
          <bgColor rgb="FFFFFFCC"/>
        </patternFill>
      </fill>
      <alignment horizontal="righ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rgb="FFFFFFCC"/>
        </patternFill>
      </fill>
      <alignment horizontal="right" vertical="center" textRotation="0" wrapText="1" indent="0" justifyLastLine="0" shrinkToFit="0" readingOrder="0"/>
      <border diagonalUp="0" diagonalDown="0">
        <left style="medium">
          <color auto="1"/>
        </left>
        <right style="thin">
          <color auto="1"/>
        </right>
        <top style="thin">
          <color auto="1"/>
        </top>
        <bottom style="thin">
          <color auto="1"/>
        </bottom>
        <vertical/>
        <horizontal style="thin">
          <color auto="1"/>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48118533890809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48118533890809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0"/>
        <name val="Arial"/>
        <scheme val="none"/>
      </font>
      <fill>
        <patternFill patternType="none">
          <fgColor indexed="64"/>
          <bgColor auto="1"/>
        </patternFill>
      </fill>
    </dxf>
    <dxf>
      <border outline="0">
        <bottom style="thin">
          <color rgb="FF000000"/>
        </bottom>
      </border>
    </dxf>
    <dxf>
      <font>
        <strike val="0"/>
        <outline val="0"/>
        <shadow val="0"/>
        <u val="none"/>
        <vertAlign val="baseline"/>
        <sz val="10"/>
        <name val="Arial"/>
        <scheme val="none"/>
      </font>
    </dxf>
    <dxf>
      <font>
        <i/>
        <strike val="0"/>
        <outline val="0"/>
        <shadow val="0"/>
        <u val="none"/>
        <vertAlign val="baseline"/>
        <sz val="10"/>
        <name val="Arial"/>
        <scheme val="none"/>
      </font>
      <numFmt numFmtId="164" formatCode="&quot;$&quot;#,##0.00_);\(&quot;$&quot;#,##0.00\)"/>
      <fill>
        <patternFill>
          <fgColor indexed="64"/>
          <bgColor theme="0"/>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numFmt numFmtId="164" formatCode="&quot;$&quot;#,##0.00_);\(&quot;$&quot;#,##0.00\)"/>
      <fill>
        <patternFill patternType="solid">
          <fgColor indexed="64"/>
          <bgColor theme="0"/>
        </patternFill>
      </fill>
      <alignment horizontal="center" vertical="center" textRotation="0" wrapText="1" indent="0" justifyLastLine="0" shrinkToFit="0" readingOrder="0"/>
      <border diagonalUp="0" diagonalDown="0">
        <left style="thin">
          <color auto="1"/>
        </left>
        <right style="medium">
          <color indexed="64"/>
        </right>
        <top style="thin">
          <color auto="1"/>
        </top>
        <bottom style="thin">
          <color auto="1"/>
        </bottom>
        <vertical style="thin">
          <color auto="1"/>
        </vertical>
        <horizontal style="thin">
          <color auto="1"/>
        </horizontal>
      </border>
      <protection locked="1" hidden="0"/>
    </dxf>
    <dxf>
      <font>
        <b val="0"/>
        <i/>
        <strike val="0"/>
        <condense val="0"/>
        <extend val="0"/>
        <outline val="0"/>
        <shadow val="0"/>
        <u val="none"/>
        <vertAlign val="baseline"/>
        <sz val="10"/>
        <color auto="1"/>
        <name val="Arial"/>
        <scheme val="none"/>
      </font>
      <numFmt numFmtId="164" formatCode="&quot;$&quot;#,##0.00_);\(&quot;$&quot;#,##0.00\)"/>
      <fill>
        <patternFill patternType="solid">
          <fgColor indexed="64"/>
          <bgColor theme="0"/>
        </patternFill>
      </fill>
      <alignment horizontal="righ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left style="medium">
          <color indexed="64"/>
        </left>
        <right style="thin">
          <color auto="1"/>
        </right>
        <top style="thin">
          <color auto="1"/>
        </top>
        <bottom style="thin">
          <color auto="1"/>
        </bottom>
        <vertical style="thin">
          <color auto="1"/>
        </vertical>
        <horizontal style="thin">
          <color auto="1"/>
        </horizontal>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numFmt numFmtId="171" formatCode="yyyy\-mmm\-dd"/>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strike val="0"/>
        <condense val="0"/>
        <extend val="0"/>
        <outline val="0"/>
        <shadow val="0"/>
        <u val="none"/>
        <vertAlign val="baseline"/>
        <sz val="10"/>
        <color auto="1"/>
        <name val="Arial"/>
        <scheme val="none"/>
      </font>
      <numFmt numFmtId="171" formatCode="yyyy\-mmm\-dd"/>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border outline="0">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10"/>
        <name val="Arial"/>
        <scheme val="none"/>
      </font>
      <fill>
        <patternFill>
          <fgColor indexed="64"/>
          <bgColor theme="0"/>
        </patternFill>
      </fill>
      <protection locked="1" hidden="0"/>
    </dxf>
    <dxf>
      <border outline="0">
        <bottom style="thin">
          <color rgb="FF000000"/>
        </bottom>
      </border>
    </dxf>
    <dxf>
      <font>
        <strike val="0"/>
        <outline val="0"/>
        <shadow val="0"/>
        <u val="none"/>
        <vertAlign val="baseline"/>
        <sz val="10"/>
        <name val="Arial"/>
        <scheme val="none"/>
      </font>
      <fill>
        <patternFill patternType="solid">
          <fgColor indexed="64"/>
          <bgColor theme="9" tint="0.39997558519241921"/>
        </patternFill>
      </fill>
      <alignment horizontal="center" vertical="center" textRotation="0" wrapText="1" indent="0" justifyLastLine="0" shrinkToFit="0" readingOrder="0"/>
      <protection locked="1" hidden="0"/>
    </dxf>
    <dxf>
      <fill>
        <patternFill>
          <bgColor rgb="FFFF0000"/>
        </patternFill>
      </fill>
    </dxf>
    <dxf>
      <fill>
        <patternFill>
          <bgColor theme="2" tint="-9.9948118533890809E-2"/>
        </patternFill>
      </fill>
    </dxf>
    <dxf>
      <font>
        <strike val="0"/>
        <outline val="0"/>
        <shadow val="0"/>
        <u val="none"/>
        <vertAlign val="baseline"/>
        <sz val="10"/>
        <color auto="1"/>
        <name val="Arial"/>
        <scheme val="none"/>
      </font>
      <numFmt numFmtId="167" formatCode="&quot;$&quot;#,##0.00"/>
      <fill>
        <patternFill patternType="none">
          <fgColor indexed="64"/>
          <bgColor auto="1"/>
        </patternFill>
      </fill>
      <alignment horizontal="righ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scheme val="none"/>
      </font>
      <numFmt numFmtId="30" formatCode="@"/>
      <fill>
        <patternFill patternType="solid">
          <fgColor indexed="64"/>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solid">
          <fgColor indexed="64"/>
          <bgColor rgb="FFFFFFCC"/>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Arial"/>
        <scheme val="none"/>
      </font>
      <numFmt numFmtId="164" formatCode="&quot;$&quot;#,##0.00_);\(&quot;$&quot;#,##0.00\)"/>
      <fill>
        <patternFill patternType="solid">
          <fgColor indexed="64"/>
          <bgColor rgb="FFFFFFCC"/>
        </patternFill>
      </fill>
      <alignment horizontal="righ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numFmt numFmtId="2" formatCode="0.00"/>
      <fill>
        <patternFill patternType="solid">
          <fgColor indexed="64"/>
          <bgColor rgb="FFFFFFCC"/>
        </patternFill>
      </fill>
      <alignment horizontal="right" vertical="center" textRotation="0" wrapText="1" indent="0" justifyLastLine="0" shrinkToFit="0" readingOrder="0"/>
      <border diagonalUp="0" diagonalDown="0">
        <left style="medium">
          <color auto="1"/>
        </left>
        <right style="thin">
          <color auto="1"/>
        </right>
        <top style="thin">
          <color auto="1"/>
        </top>
        <bottom style="thin">
          <color auto="1"/>
        </bottom>
        <vertical/>
        <horizontal style="thin">
          <color auto="1"/>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48118533890809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48118533890809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fill>
        <patternFill patternType="none">
          <fgColor indexed="64"/>
          <bgColor auto="1"/>
        </patternFill>
      </fill>
    </dxf>
    <dxf>
      <border outline="0">
        <bottom style="thin">
          <color indexed="64"/>
        </bottom>
      </border>
    </dxf>
    <dxf>
      <font>
        <strike val="0"/>
        <outline val="0"/>
        <shadow val="0"/>
        <u val="none"/>
        <vertAlign val="baseline"/>
        <sz val="10"/>
        <name val="Arial"/>
        <scheme val="none"/>
      </font>
    </dxf>
    <dxf>
      <font>
        <i/>
        <strike val="0"/>
        <outline val="0"/>
        <shadow val="0"/>
        <u val="none"/>
        <vertAlign val="baseline"/>
        <sz val="10"/>
        <name val="Arial"/>
        <scheme val="none"/>
      </font>
      <numFmt numFmtId="164" formatCode="&quot;$&quot;#,##0.00_);\(&quot;$&quot;#,##0.00\)"/>
      <fill>
        <patternFill>
          <fgColor indexed="64"/>
          <bgColor theme="0"/>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horizontal style="thin">
          <color indexed="64"/>
        </horizontal>
      </border>
      <protection locked="1" hidden="0"/>
    </dxf>
    <dxf>
      <font>
        <b val="0"/>
        <i/>
        <strike val="0"/>
        <condense val="0"/>
        <extend val="0"/>
        <outline val="0"/>
        <shadow val="0"/>
        <u val="none"/>
        <vertAlign val="baseline"/>
        <sz val="10"/>
        <color auto="1"/>
        <name val="Arial"/>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top style="thin">
          <color indexed="64"/>
        </top>
        <bottom style="thin">
          <color indexed="64"/>
        </bottom>
        <horizontal style="thin">
          <color indexed="64"/>
        </horizontal>
      </border>
      <protection locked="1" hidden="0"/>
    </dxf>
    <dxf>
      <font>
        <b val="0"/>
        <i/>
        <strike val="0"/>
        <condense val="0"/>
        <extend val="0"/>
        <outline val="0"/>
        <shadow val="0"/>
        <u val="none"/>
        <vertAlign val="baseline"/>
        <sz val="10"/>
        <color auto="1"/>
        <name val="Arial"/>
        <scheme val="none"/>
      </font>
      <numFmt numFmtId="164" formatCode="&quot;$&quot;#,##0.00_);\(&quot;$&quot;#,##0.00\)"/>
      <fill>
        <patternFill patternType="solid">
          <fgColor indexed="64"/>
          <bgColor theme="0"/>
        </patternFill>
      </fill>
      <alignment horizontal="center" vertical="center" textRotation="0" wrapText="1" indent="0" justifyLastLine="0" shrinkToFit="0" readingOrder="0"/>
      <border diagonalUp="0" diagonalDown="0">
        <left/>
        <right style="medium">
          <color indexed="64"/>
        </right>
        <top style="thin">
          <color indexed="64"/>
        </top>
        <bottom style="thin">
          <color indexed="64"/>
        </bottom>
        <vertical/>
        <horizontal style="thin">
          <color indexed="64"/>
        </horizontal>
      </border>
      <protection locked="1" hidden="0"/>
    </dxf>
    <dxf>
      <font>
        <b val="0"/>
        <i/>
        <strike val="0"/>
        <condense val="0"/>
        <extend val="0"/>
        <outline val="0"/>
        <shadow val="0"/>
        <u val="none"/>
        <vertAlign val="baseline"/>
        <sz val="10"/>
        <color auto="1"/>
        <name val="Arial"/>
        <scheme val="none"/>
      </font>
      <numFmt numFmtId="164" formatCode="&quot;$&quot;#,##0.00_);\(&quot;$&quot;#,##0.00\)"/>
      <fill>
        <patternFill patternType="solid">
          <fgColor indexed="64"/>
          <bgColor theme="0"/>
        </patternFill>
      </fill>
      <alignment horizontal="right" vertical="center" textRotation="0" wrapText="1" indent="0" justifyLastLine="0" shrinkToFit="0" readingOrder="0"/>
      <border diagonalUp="0" diagonalDown="0">
        <top style="thin">
          <color indexed="64"/>
        </top>
        <bottom style="thin">
          <color indexed="64"/>
        </bottom>
        <horizontal style="thin">
          <color indexed="64"/>
        </horizontal>
      </border>
      <protection locked="1" hidden="0"/>
    </dxf>
    <dxf>
      <font>
        <b val="0"/>
        <i/>
        <strike val="0"/>
        <condense val="0"/>
        <extend val="0"/>
        <outline val="0"/>
        <shadow val="0"/>
        <u val="none"/>
        <vertAlign val="baseline"/>
        <sz val="10"/>
        <color auto="1"/>
        <name val="Arial"/>
        <scheme val="none"/>
      </font>
      <numFmt numFmtId="2" formatCode="0.00"/>
      <fill>
        <patternFill patternType="solid">
          <fgColor indexed="64"/>
          <bgColor theme="0"/>
        </patternFill>
      </fill>
      <alignment horizontal="right" vertical="center" textRotation="0" wrapText="1" indent="0" justifyLastLine="0" shrinkToFit="0" readingOrder="0"/>
      <border diagonalUp="0" diagonalDown="0">
        <left style="medium">
          <color indexed="64"/>
        </left>
        <right/>
        <top style="thin">
          <color indexed="64"/>
        </top>
        <bottom style="thin">
          <color indexed="64"/>
        </bottom>
        <vertical/>
        <horizontal style="thin">
          <color indexed="64"/>
        </horizontal>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horizontal style="thin">
          <color indexed="64"/>
        </horizontal>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horizontal style="thin">
          <color indexed="64"/>
        </horizontal>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numFmt numFmtId="171" formatCode="yyyy\-mmm\-dd"/>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strike val="0"/>
        <condense val="0"/>
        <extend val="0"/>
        <outline val="0"/>
        <shadow val="0"/>
        <u val="none"/>
        <vertAlign val="baseline"/>
        <sz val="10"/>
        <color auto="1"/>
        <name val="Arial"/>
        <scheme val="none"/>
      </font>
      <numFmt numFmtId="171" formatCode="yyyy\-mmm\-dd"/>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0"/>
        <name val="Arial"/>
        <scheme val="none"/>
      </font>
      <fill>
        <patternFill>
          <fgColor indexed="64"/>
          <bgColor theme="0"/>
        </patternFill>
      </fill>
      <protection locked="1" hidden="0"/>
    </dxf>
    <dxf>
      <border>
        <bottom style="thin">
          <color indexed="64"/>
        </bottom>
      </border>
    </dxf>
    <dxf>
      <font>
        <strike val="0"/>
        <outline val="0"/>
        <shadow val="0"/>
        <u val="none"/>
        <vertAlign val="baseline"/>
        <sz val="10"/>
        <name val="Arial"/>
        <scheme val="none"/>
      </font>
      <fill>
        <patternFill patternType="solid">
          <fgColor indexed="64"/>
          <bgColor theme="9" tint="0.39997558519241921"/>
        </patternFill>
      </fill>
      <alignment horizontal="center" vertical="center" textRotation="0" wrapText="1" indent="0" justifyLastLine="0" shrinkToFit="0" readingOrder="0"/>
      <protection locked="1" hidden="0"/>
    </dxf>
    <dxf>
      <fill>
        <patternFill>
          <bgColor rgb="FFFF0000"/>
        </patternFill>
      </fill>
    </dxf>
    <dxf>
      <fill>
        <patternFill>
          <bgColor theme="2" tint="-9.9948118533890809E-2"/>
        </patternFill>
      </fill>
    </dxf>
    <dxf>
      <font>
        <b val="0"/>
        <i val="0"/>
        <strike val="0"/>
        <condense val="0"/>
        <extend val="0"/>
        <outline val="0"/>
        <shadow val="0"/>
        <u val="none"/>
        <vertAlign val="baseline"/>
        <sz val="10"/>
        <color auto="1"/>
        <name val="Arial"/>
        <scheme val="none"/>
      </font>
      <numFmt numFmtId="167" formatCode="&quot;$&quot;#,##0.00"/>
      <fill>
        <patternFill patternType="none">
          <fgColor rgb="FF000000"/>
          <bgColor auto="1"/>
        </patternFill>
      </fill>
      <alignment horizontal="righ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rgb="FFFFFEDA"/>
        </patternFill>
      </fill>
      <alignment horizontal="center" vertical="center" textRotation="0" wrapText="1" indent="0" justifyLastLine="0" shrinkToFit="0" readingOrder="0"/>
      <border diagonalUp="0" diagonalDown="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auto="1"/>
        </left>
        <right style="thin">
          <color auto="1"/>
        </right>
        <top style="thin">
          <color indexed="64"/>
        </top>
        <bottom style="thin">
          <color indexed="64"/>
        </bottom>
      </border>
      <protection locked="1"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2" formatCode="0.00"/>
      <fill>
        <patternFill patternType="solid">
          <fgColor indexed="64"/>
          <bgColor theme="2" tint="-9.9978637043366805E-2"/>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70" formatCode="m/d/yyyy"/>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0"/>
      <protection locked="0" hidden="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strike val="0"/>
        <condense val="0"/>
        <extend val="0"/>
        <outline val="0"/>
        <shadow val="0"/>
        <u val="none"/>
        <vertAlign val="baseline"/>
        <sz val="10"/>
        <color auto="1"/>
        <name val="Arial"/>
        <scheme val="none"/>
      </font>
      <numFmt numFmtId="167" formatCode="&quot;$&quot;#,##0.00"/>
      <fill>
        <patternFill patternType="solid">
          <fgColor rgb="FF000000"/>
          <bgColor theme="0"/>
        </patternFill>
      </fill>
      <alignment horizontal="right" vertical="center" textRotation="0" wrapText="1" indent="0" justifyLastLine="0" shrinkToFit="0" readingOrder="0"/>
      <border diagonalUp="0" diagonalDown="0" outline="0">
        <left style="thin">
          <color indexed="64"/>
        </left>
        <right/>
        <top/>
        <bottom style="thin">
          <color indexed="64"/>
        </bottom>
      </border>
      <protection locked="0" hidden="0"/>
    </dxf>
    <dxf>
      <font>
        <b val="0"/>
        <i/>
        <strike val="0"/>
        <condense val="0"/>
        <extend val="0"/>
        <outline val="0"/>
        <shadow val="0"/>
        <u val="none"/>
        <vertAlign val="baseline"/>
        <sz val="10"/>
        <color auto="1"/>
        <name val="Arial"/>
        <scheme val="none"/>
      </font>
      <numFmt numFmtId="0" formatCode="General"/>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left/>
        <right style="medium">
          <color indexed="64"/>
        </right>
        <top/>
        <bottom/>
        <vertical/>
        <horizontal/>
      </border>
      <protection locked="0"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left style="medium">
          <color indexed="64"/>
        </left>
        <right/>
        <top/>
        <bottom/>
        <vertical/>
        <horizontal/>
      </border>
      <protection locked="0" hidden="0"/>
    </dxf>
    <dxf>
      <font>
        <b val="0"/>
        <i/>
        <strike val="0"/>
        <condense val="0"/>
        <extend val="0"/>
        <outline val="0"/>
        <shadow val="0"/>
        <u val="none"/>
        <vertAlign val="baseline"/>
        <sz val="10"/>
        <color auto="1"/>
        <name val="Arial"/>
        <scheme val="none"/>
      </font>
      <numFmt numFmtId="165" formatCode="_(&quot;$&quot;* #,##0.00_);_(&quot;$&quot;* \(#,##0.00\);_(&quot;$&quot;* &quot;-&quot;??_);_(@_)"/>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auto="1"/>
        </top>
        <bottom style="thin">
          <color auto="1"/>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style="thin">
          <color auto="1"/>
        </top>
        <bottom style="thin">
          <color auto="1"/>
        </bottom>
      </border>
      <protection locked="0" hidden="0"/>
    </dxf>
    <dxf>
      <font>
        <b val="0"/>
        <i/>
        <strike val="0"/>
        <condense val="0"/>
        <extend val="0"/>
        <outline val="0"/>
        <shadow val="0"/>
        <u val="none"/>
        <vertAlign val="baseline"/>
        <sz val="10"/>
        <color auto="1"/>
        <name val="Arial"/>
        <scheme val="none"/>
      </font>
      <numFmt numFmtId="2" formatCode="0.00"/>
      <fill>
        <patternFill patternType="solid">
          <fgColor indexed="64"/>
          <bgColor theme="0"/>
        </patternFill>
      </fill>
      <alignment horizontal="right" vertical="center" textRotation="0" wrapText="1" indent="0" justifyLastLine="0" shrinkToFit="0" readingOrder="0"/>
      <border diagonalUp="0" diagonalDown="0" outline="0">
        <left/>
        <right/>
        <top style="thin">
          <color auto="1"/>
        </top>
        <bottom style="thin">
          <color auto="1"/>
        </bottom>
      </border>
      <protection locked="0"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numFmt numFmtId="170" formatCode="m/d/yyyy"/>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auto="1"/>
        </top>
        <bottom style="thin">
          <color auto="1"/>
        </bottom>
      </border>
      <protection locked="0" hidden="0"/>
    </dxf>
    <dxf>
      <font>
        <b val="0"/>
        <i/>
        <strike val="0"/>
        <condense val="0"/>
        <extend val="0"/>
        <outline val="0"/>
        <shadow val="0"/>
        <u val="none"/>
        <vertAlign val="baseline"/>
        <sz val="10"/>
        <color auto="1"/>
        <name val="Arial"/>
        <scheme val="none"/>
      </font>
      <numFmt numFmtId="170" formatCode="m/d/yyyy"/>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bgColor theme="0"/>
        </patternFill>
      </fill>
    </dxf>
    <dxf>
      <border outline="0">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theme="9" tint="0.39997558519241921"/>
        </patternFill>
      </fill>
      <alignment horizontal="center" vertical="center" textRotation="0" wrapText="1" indent="0" justifyLastLine="0" shrinkToFit="0" readingOrder="0"/>
      <protection locked="1" hidden="0"/>
    </dxf>
    <dxf>
      <fill>
        <patternFill>
          <bgColor rgb="FFFF0000"/>
        </patternFill>
      </fill>
    </dxf>
    <dxf>
      <fill>
        <patternFill>
          <bgColor theme="2" tint="-9.9948118533890809E-2"/>
        </patternFill>
      </fill>
    </dxf>
    <dxf>
      <font>
        <b val="0"/>
        <i val="0"/>
        <strike val="0"/>
        <condense val="0"/>
        <extend val="0"/>
        <outline val="0"/>
        <shadow val="0"/>
        <u val="none"/>
        <vertAlign val="baseline"/>
        <sz val="10"/>
        <color auto="1"/>
        <name val="Arial"/>
        <scheme val="none"/>
      </font>
      <numFmt numFmtId="167" formatCode="&quot;$&quot;#,##0.00"/>
      <fill>
        <patternFill patternType="none">
          <fgColor rgb="FF000000"/>
          <bgColor auto="1"/>
        </patternFill>
      </fill>
      <alignment horizontal="right"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right"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0"/>
        <color auto="1"/>
        <name val="Arial"/>
        <scheme val="none"/>
      </font>
      <fill>
        <patternFill patternType="solid">
          <fgColor indexed="64"/>
          <bgColor rgb="FFFFFFCC"/>
        </patternFill>
      </fill>
      <alignment horizontal="right"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style="thin">
          <color indexed="64"/>
        </horizontal>
      </border>
      <protection locked="0" hidden="0"/>
    </dxf>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solid">
          <fgColor indexed="64"/>
          <bgColor theme="2" tint="-9.9948118533890809E-2"/>
        </patternFill>
      </fill>
      <alignment horizontal="center" vertical="center" textRotation="0" wrapText="1" indent="0" justifyLastLine="0" shrinkToFit="0" readingOrder="0"/>
      <border diagonalUp="0" diagonalDown="0">
        <left style="thin">
          <color auto="1"/>
        </left>
        <right style="medium">
          <color auto="1"/>
        </right>
        <top style="thin">
          <color auto="1"/>
        </top>
        <bottom style="thin">
          <color auto="1"/>
        </bottom>
        <vertical/>
        <horizontal style="thin">
          <color auto="1"/>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righ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ont>
        <b val="0"/>
        <i val="0"/>
        <strike val="0"/>
        <condense val="0"/>
        <extend val="0"/>
        <outline val="0"/>
        <shadow val="0"/>
        <u val="none"/>
        <vertAlign val="baseline"/>
        <sz val="10"/>
        <color auto="1"/>
        <name val="Arial"/>
        <scheme val="none"/>
      </font>
      <numFmt numFmtId="2" formatCode="0.00"/>
      <fill>
        <patternFill patternType="solid">
          <fgColor indexed="64"/>
          <bgColor theme="2" tint="-9.9948118533890809E-2"/>
        </patternFill>
      </fill>
      <alignment horizontal="right" vertical="center" textRotation="0" wrapText="1" indent="0" justifyLastLine="0" shrinkToFit="0" readingOrder="0"/>
      <border diagonalUp="0" diagonalDown="0">
        <left style="medium">
          <color auto="1"/>
        </left>
        <right style="thin">
          <color auto="1"/>
        </right>
        <top style="thin">
          <color auto="1"/>
        </top>
        <bottom style="thin">
          <color auto="1"/>
        </bottom>
        <vertical/>
        <horizontal style="thin">
          <color auto="1"/>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48118533890809E-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indexed="64"/>
          <bgColor theme="2" tint="-9.9948118533890809E-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48118533890809E-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ont>
        <b val="0"/>
        <i val="0"/>
        <strike val="0"/>
        <condense val="0"/>
        <extend val="0"/>
        <outline val="0"/>
        <shadow val="0"/>
        <u val="none"/>
        <vertAlign val="baseline"/>
        <sz val="10"/>
        <color auto="1"/>
        <name val="Arial"/>
        <scheme val="none"/>
      </font>
      <numFmt numFmtId="170" formatCode="m/d/yyyy"/>
      <fill>
        <patternFill patternType="solid">
          <fgColor indexed="64"/>
          <bgColor theme="2" tint="-9.9948118533890809E-2"/>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auto="1"/>
        <name val="Arial"/>
        <scheme val="none"/>
      </font>
      <fill>
        <patternFill patternType="none">
          <fgColor rgb="FF000000"/>
          <bgColor auto="1"/>
        </patternFill>
      </fill>
      <alignment horizontal="center" vertical="center" textRotation="0" wrapText="1" indent="0" justifyLastLine="0" shrinkToFit="0" readingOrder="0"/>
      <protection locked="0" hidden="0"/>
    </dxf>
    <dxf>
      <border outline="0">
        <bottom style="thin">
          <color rgb="FF000000"/>
        </bottom>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strike val="0"/>
        <condense val="0"/>
        <extend val="0"/>
        <outline val="0"/>
        <shadow val="0"/>
        <u val="none"/>
        <vertAlign val="baseline"/>
        <sz val="10"/>
        <color auto="1"/>
        <name val="Arial"/>
        <scheme val="none"/>
      </font>
      <numFmt numFmtId="167" formatCode="&quot;$&quot;#,##0.00"/>
      <fill>
        <patternFill patternType="solid">
          <fgColor rgb="FF000000"/>
          <bgColor theme="0"/>
        </patternFill>
      </fill>
      <alignment horizontal="right" vertical="center" textRotation="0" wrapText="1" indent="0" justifyLastLine="0" shrinkToFit="0" readingOrder="0"/>
      <border diagonalUp="0" diagonalDown="0">
        <left style="thin">
          <color indexed="64"/>
        </left>
        <right/>
        <top/>
        <bottom style="thin">
          <color indexed="64"/>
        </bottom>
      </border>
      <protection locked="1" hidden="0"/>
    </dxf>
    <dxf>
      <font>
        <b val="0"/>
        <i/>
        <strike val="0"/>
        <condense val="0"/>
        <extend val="0"/>
        <outline val="0"/>
        <shadow val="0"/>
        <u val="none"/>
        <vertAlign val="baseline"/>
        <sz val="10"/>
        <color auto="1"/>
        <name val="Arial"/>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left/>
        <right style="medium">
          <color indexed="64"/>
        </right>
        <top style="medium">
          <color auto="1"/>
        </top>
        <bottom style="medium">
          <color auto="1"/>
        </bottom>
        <vertical/>
        <horizontal style="medium">
          <color auto="1"/>
        </horizontal>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left style="medium">
          <color indexed="64"/>
        </left>
        <right/>
        <top style="medium">
          <color auto="1"/>
        </top>
        <bottom style="medium">
          <color auto="1"/>
        </bottom>
        <vertical/>
        <horizontal style="medium">
          <color auto="1"/>
        </horizontal>
      </border>
      <protection locked="1" hidden="0"/>
    </dxf>
    <dxf>
      <font>
        <b val="0"/>
        <i/>
        <strike val="0"/>
        <condense val="0"/>
        <extend val="0"/>
        <outline val="0"/>
        <shadow val="0"/>
        <u val="none"/>
        <vertAlign val="baseline"/>
        <sz val="10"/>
        <color auto="1"/>
        <name val="Arial"/>
        <scheme val="none"/>
      </font>
      <numFmt numFmtId="165" formatCode="_(&quot;$&quot;* #,##0.00_);_(&quot;$&quot;* \(#,##0.00\);_(&quot;$&quot;* &quot;-&quot;??_);_(@_)"/>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auto="1"/>
        </top>
        <bottom style="thin">
          <color auto="1"/>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left style="thin">
          <color indexed="64"/>
        </left>
        <right style="thin">
          <color indexed="64"/>
        </right>
        <top style="thin">
          <color auto="1"/>
        </top>
        <bottom style="thin">
          <color auto="1"/>
        </bottom>
      </border>
      <protection locked="1" hidden="0"/>
    </dxf>
    <dxf>
      <font>
        <b val="0"/>
        <i/>
        <strike val="0"/>
        <condense val="0"/>
        <extend val="0"/>
        <outline val="0"/>
        <shadow val="0"/>
        <u val="none"/>
        <vertAlign val="baseline"/>
        <sz val="10"/>
        <color auto="1"/>
        <name val="Arial"/>
        <scheme val="none"/>
      </font>
      <numFmt numFmtId="2" formatCode="0.00"/>
      <fill>
        <patternFill patternType="solid">
          <fgColor indexed="64"/>
          <bgColor theme="0"/>
        </patternFill>
      </fill>
      <alignment horizontal="right" vertical="center" textRotation="0" wrapText="1" indent="0" justifyLastLine="0" shrinkToFit="0" readingOrder="0"/>
      <border diagonalUp="0" diagonalDown="0">
        <left style="medium">
          <color indexed="64"/>
        </left>
        <right/>
        <top style="thin">
          <color auto="1"/>
        </top>
        <bottom style="thin">
          <color auto="1"/>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numFmt numFmtId="170" formatCode="m/d/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auto="1"/>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numFmt numFmtId="170" formatCode="m/d/yyyy"/>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border>
      <protection locked="1" hidden="0"/>
    </dxf>
    <dxf>
      <border outline="0">
        <top style="thin">
          <color rgb="FF000000"/>
        </top>
      </border>
    </dxf>
    <dxf>
      <border diagonalUp="0" diagonalDown="0">
        <left style="thin">
          <color rgb="FF000000"/>
        </left>
        <right style="thin">
          <color rgb="FF000000"/>
        </right>
        <bottom style="thin">
          <color rgb="FF000000"/>
        </bottom>
      </border>
    </dxf>
    <dxf>
      <font>
        <b val="0"/>
        <i/>
        <strike val="0"/>
        <condense val="0"/>
        <extend val="0"/>
        <outline val="0"/>
        <shadow val="0"/>
        <u val="none"/>
        <vertAlign val="baseline"/>
        <sz val="10"/>
        <color auto="1"/>
        <name val="Arial"/>
        <scheme val="none"/>
      </font>
      <fill>
        <patternFill patternType="solid">
          <fgColor rgb="FF000000"/>
          <bgColor theme="0"/>
        </patternFill>
      </fill>
      <alignment horizontal="center" vertical="center" textRotation="0" wrapText="1" indent="0" justifyLastLine="0" shrinkToFit="0" readingOrder="0"/>
      <protection locked="1" hidden="0"/>
    </dxf>
    <dxf>
      <border>
        <bottom style="thin">
          <color auto="1"/>
        </bottom>
      </border>
    </dxf>
    <dxf>
      <font>
        <b/>
        <i val="0"/>
        <strike val="0"/>
        <condense val="0"/>
        <extend val="0"/>
        <outline val="0"/>
        <shadow val="0"/>
        <u val="none"/>
        <vertAlign val="baseline"/>
        <sz val="10"/>
        <color auto="1"/>
        <name val="Arial"/>
        <scheme val="none"/>
      </font>
      <fill>
        <patternFill patternType="solid">
          <fgColor indexed="64"/>
          <bgColor theme="9" tint="0.39997558519241921"/>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border>
      <protection locked="1" hidden="0"/>
    </dxf>
    <dxf>
      <fill>
        <patternFill>
          <bgColor rgb="FFFF0000"/>
        </patternFill>
      </fill>
    </dxf>
    <dxf>
      <fill>
        <patternFill>
          <bgColor theme="2" tint="-9.9948118533890809E-2"/>
        </patternFill>
      </fill>
    </dxf>
    <dxf>
      <font>
        <b val="0"/>
        <i val="0"/>
        <strike val="0"/>
        <condense val="0"/>
        <extend val="0"/>
        <outline val="0"/>
        <shadow val="0"/>
        <u val="none"/>
        <vertAlign val="baseline"/>
        <sz val="10"/>
        <color auto="1"/>
        <name val="Arial"/>
        <scheme val="none"/>
      </font>
      <numFmt numFmtId="30" formatCode="@"/>
      <fill>
        <patternFill patternType="solid">
          <fgColor rgb="FF000000"/>
          <bgColor rgb="FFF5FCB6"/>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none">
          <fgColor indexed="64"/>
          <bgColor indexed="65"/>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none">
          <fgColor indexed="64"/>
          <bgColor indexed="65"/>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righ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rgb="FF000000"/>
          <bgColor theme="2" tint="-9.9978637043366805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rgb="FF000000"/>
          <bgColor theme="2" tint="-9.9978637043366805E-2"/>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auto="1"/>
        <name val="Arial"/>
        <scheme val="none"/>
      </font>
      <fill>
        <patternFill patternType="solid">
          <fgColor rgb="FF000000"/>
          <bgColor rgb="FFF5FCB6"/>
        </patternFill>
      </fill>
      <alignment horizontal="center" vertical="center" textRotation="0" wrapText="1" indent="0" justifyLastLine="0" shrinkToFit="0" readingOrder="0"/>
      <protection locked="0" hidden="0"/>
    </dxf>
    <dxf>
      <border outline="0">
        <bottom style="thin">
          <color rgb="FF000000"/>
        </bottom>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strike val="0"/>
        <condense val="0"/>
        <extend val="0"/>
        <outline val="0"/>
        <shadow val="0"/>
        <u val="none"/>
        <vertAlign val="baseline"/>
        <sz val="10"/>
        <color auto="1"/>
        <name val="Arial"/>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auto="1"/>
        </bottom>
        <vertical/>
        <horizontal/>
      </border>
      <protection locked="0"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style="thin">
          <color auto="1"/>
        </top>
        <bottom style="thin">
          <color auto="1"/>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style="thin">
          <color auto="1"/>
        </top>
        <bottom style="thin">
          <color auto="1"/>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numFmt numFmtId="171" formatCode="yyyy\-mmm\-dd"/>
      <fill>
        <patternFill patternType="solid">
          <fgColor rgb="FF000000"/>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numFmt numFmtId="171" formatCode="yyyy\-mmm\-dd"/>
      <fill>
        <patternFill patternType="solid">
          <fgColor rgb="FF000000"/>
          <bgColor theme="0"/>
        </patternFill>
      </fill>
      <alignment horizontal="center" vertical="center" textRotation="0" wrapText="1" indent="0" justifyLastLine="0" shrinkToFit="0" readingOrder="0"/>
      <border diagonalUp="0" diagonalDown="0" outline="0">
        <left/>
        <right/>
        <top/>
        <bottom style="thin">
          <color indexed="64"/>
        </bottom>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font>
        <b val="0"/>
        <i/>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protection locked="0" hidden="0"/>
    </dxf>
    <dxf>
      <border outline="0">
        <bottom style="thin">
          <color rgb="FF000000"/>
        </bottom>
      </border>
    </dxf>
    <dxf>
      <font>
        <b/>
        <i val="0"/>
        <strike val="0"/>
        <condense val="0"/>
        <extend val="0"/>
        <outline val="0"/>
        <shadow val="0"/>
        <u val="none"/>
        <vertAlign val="baseline"/>
        <sz val="10"/>
        <color auto="1"/>
        <name val="Arial"/>
        <scheme val="none"/>
      </font>
      <fill>
        <patternFill patternType="solid">
          <fgColor indexed="64"/>
          <bgColor theme="9"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rgb="FFFF3300"/>
        </patternFill>
      </fill>
    </dxf>
    <dxf>
      <fill>
        <patternFill>
          <bgColor theme="2" tint="-9.9948118533890809E-2"/>
        </patternFill>
      </fill>
    </dxf>
    <dxf>
      <font>
        <b val="0"/>
        <i val="0"/>
        <strike val="0"/>
        <condense val="0"/>
        <extend val="0"/>
        <outline val="0"/>
        <shadow val="0"/>
        <u val="none"/>
        <vertAlign val="baseline"/>
        <sz val="10"/>
        <color auto="1"/>
        <name val="Arial"/>
        <scheme val="none"/>
      </font>
      <numFmt numFmtId="30" formatCode="@"/>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indexed="64"/>
        </left>
        <right style="thin">
          <color indexed="64"/>
        </right>
        <top style="thin">
          <color auto="1"/>
        </top>
        <bottom style="thin">
          <color auto="1"/>
        </bottom>
      </border>
      <protection locked="0" hidden="0"/>
    </dxf>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none">
          <fgColor indexed="64"/>
          <bgColor indexed="65"/>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165" formatCode="_(&quot;$&quot;* #,##0.00_);_(&quot;$&quot;* \(#,##0.00\);_(&quot;$&quot;* &quot;-&quot;??_);_(@_)"/>
      <fill>
        <patternFill patternType="none">
          <fgColor indexed="64"/>
          <bgColor indexed="65"/>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righ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rgb="FF000000"/>
          <bgColor theme="2" tint="-9.9978637043366805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171" formatCode="yyyy\-mmm\-dd"/>
      <fill>
        <patternFill patternType="solid">
          <fgColor rgb="FF000000"/>
          <bgColor theme="2" tint="-9.9978637043366805E-2"/>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auto="1"/>
        <name val="Arial"/>
        <scheme val="none"/>
      </font>
      <fill>
        <patternFill patternType="solid">
          <fgColor rgb="FF000000"/>
          <bgColor rgb="FFF5FCB6"/>
        </patternFill>
      </fill>
      <alignment horizontal="center" vertical="center" textRotation="0" wrapText="1" indent="0" justifyLastLine="0" shrinkToFit="0" readingOrder="0"/>
      <protection locked="0" hidden="0"/>
    </dxf>
    <dxf>
      <border outline="0">
        <bottom style="thin">
          <color rgb="FF000000"/>
        </bottom>
      </border>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val="0"/>
        <i/>
        <strike val="0"/>
        <condense val="0"/>
        <extend val="0"/>
        <outline val="0"/>
        <shadow val="0"/>
        <u val="none"/>
        <vertAlign val="baseline"/>
        <sz val="10"/>
        <color auto="1"/>
        <name val="Arial"/>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fill>
        <patternFill patternType="solid">
          <fgColor indexed="64"/>
          <bgColor theme="0" tint="-4.9989318521683403E-2"/>
        </patternFill>
      </fill>
      <alignment horizontal="right" vertical="center" textRotation="0" wrapText="1" indent="0" justifyLastLine="0" shrinkToFit="0" readingOrder="0"/>
      <border diagonalUp="0" diagonalDown="0">
        <left style="thin">
          <color indexed="64"/>
        </left>
        <right style="thin">
          <color indexed="64"/>
        </right>
        <top style="thin">
          <color auto="1"/>
        </top>
        <bottom style="thin">
          <color auto="1"/>
        </bottom>
        <vertical/>
        <horizontal/>
      </border>
      <protection locked="1" hidden="0"/>
    </dxf>
    <dxf>
      <font>
        <b val="0"/>
        <i/>
        <strike val="0"/>
        <condense val="0"/>
        <extend val="0"/>
        <outline val="0"/>
        <shadow val="0"/>
        <u val="none"/>
        <vertAlign val="baseline"/>
        <sz val="10"/>
        <color auto="1"/>
        <name val="Arial"/>
        <scheme val="none"/>
      </font>
      <fill>
        <patternFill patternType="solid">
          <fgColor indexed="64"/>
          <bgColor theme="0" tint="-4.9989318521683403E-2"/>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strike val="0"/>
        <condense val="0"/>
        <extend val="0"/>
        <outline val="0"/>
        <shadow val="0"/>
        <u val="none"/>
        <vertAlign val="baseline"/>
        <sz val="10"/>
        <color auto="1"/>
        <name val="Arial"/>
        <scheme val="none"/>
      </font>
      <fill>
        <patternFill patternType="solid">
          <fgColor indexed="64"/>
          <bgColor theme="0" tint="-4.9989318521683403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fill>
        <patternFill patternType="solid">
          <fgColor indexed="64"/>
          <bgColor theme="0" tint="-4.9989318521683403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numFmt numFmtId="0" formatCode="General"/>
      <fill>
        <patternFill patternType="solid">
          <fgColor indexed="64"/>
          <bgColor theme="0" tint="-4.9989318521683403E-2"/>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b val="0"/>
        <i/>
        <strike val="0"/>
        <condense val="0"/>
        <extend val="0"/>
        <outline val="0"/>
        <shadow val="0"/>
        <u val="none"/>
        <vertAlign val="baseline"/>
        <sz val="10"/>
        <color auto="1"/>
        <name val="Arial"/>
        <scheme val="none"/>
      </font>
      <numFmt numFmtId="0" formatCode="General"/>
      <fill>
        <patternFill patternType="solid">
          <fgColor rgb="FF000000"/>
          <bgColor rgb="FFF5FCB6"/>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font>
        <b val="0"/>
        <i/>
        <strike val="0"/>
        <condense val="0"/>
        <extend val="0"/>
        <outline val="0"/>
        <shadow val="0"/>
        <u val="none"/>
        <vertAlign val="baseline"/>
        <sz val="10"/>
        <color auto="1"/>
        <name val="Arial"/>
        <scheme val="none"/>
      </font>
      <fill>
        <patternFill patternType="solid">
          <fgColor rgb="FF000000"/>
          <bgColor rgb="FFF5FCB6"/>
        </patternFill>
      </fill>
      <alignment horizontal="center" vertical="center" textRotation="0" wrapText="1" indent="0" justifyLastLine="0" shrinkToFit="0" readingOrder="0"/>
      <protection locked="0" hidden="0"/>
    </dxf>
    <dxf>
      <border outline="0">
        <bottom style="thin">
          <color rgb="FF000000"/>
        </bottom>
      </border>
    </dxf>
    <dxf>
      <font>
        <b/>
        <i val="0"/>
        <strike val="0"/>
        <condense val="0"/>
        <extend val="0"/>
        <outline val="0"/>
        <shadow val="0"/>
        <u val="none"/>
        <vertAlign val="baseline"/>
        <sz val="10"/>
        <color auto="1"/>
        <name val="Arial"/>
        <scheme val="none"/>
      </font>
      <fill>
        <patternFill patternType="solid">
          <fgColor indexed="64"/>
          <bgColor theme="9"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rgb="FFFF3300"/>
        </patternFill>
      </fill>
    </dxf>
    <dxf>
      <fill>
        <patternFill>
          <bgColor theme="0" tint="-0.24994659260841701"/>
        </patternFill>
      </fill>
    </dxf>
    <dxf>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9" tint="0.39994506668294322"/>
        </patternFill>
      </fill>
    </dxf>
  </dxfs>
  <tableStyles count="3" defaultTableStyle="TableStyleMedium2" defaultPivotStyle="PivotStyleLight16">
    <tableStyle name="MDRATable" pivot="0" count="0"/>
    <tableStyle name="Table Style 1" pivot="0" count="1">
      <tableStyleElement type="firstRowStripe" dxfId="225"/>
    </tableStyle>
    <tableStyle name="Table Style 2" pivot="0" count="1">
      <tableStyleElement type="wholeTable" dxfId="224"/>
    </tableStyle>
  </tableStyles>
  <colors>
    <mruColors>
      <color rgb="FFFF99CC"/>
      <color rgb="FFFF3399"/>
      <color rgb="FF800000"/>
      <color rgb="FF6600CC"/>
      <color rgb="FFBE0AA9"/>
      <color rgb="FFCC3300"/>
      <color rgb="FFFFFFCC"/>
      <color rgb="FFFFFEDA"/>
      <color rgb="FFF5FCB6"/>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22</xdr:col>
      <xdr:colOff>202407</xdr:colOff>
      <xdr:row>19</xdr:row>
      <xdr:rowOff>71434</xdr:rowOff>
    </xdr:from>
    <xdr:to>
      <xdr:col>36</xdr:col>
      <xdr:colOff>164688</xdr:colOff>
      <xdr:row>21</xdr:row>
      <xdr:rowOff>38763</xdr:rowOff>
    </xdr:to>
    <xdr:sp macro="[0]!GoToCapital" textlink="">
      <xdr:nvSpPr>
        <xdr:cNvPr id="8" name="Rounded Rectangle 7" descr="Open sheet to enter costs" title="Goods and Services Capital Costs"/>
        <xdr:cNvSpPr>
          <a:spLocks/>
        </xdr:cNvSpPr>
      </xdr:nvSpPr>
      <xdr:spPr>
        <a:xfrm>
          <a:off x="7822407" y="4357684"/>
          <a:ext cx="4105656" cy="384048"/>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Biens et services - coûts d'immobilisations</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xdr:from>
      <xdr:col>22</xdr:col>
      <xdr:colOff>181238</xdr:colOff>
      <xdr:row>16</xdr:row>
      <xdr:rowOff>169334</xdr:rowOff>
    </xdr:from>
    <xdr:to>
      <xdr:col>36</xdr:col>
      <xdr:colOff>142874</xdr:colOff>
      <xdr:row>18</xdr:row>
      <xdr:rowOff>136663</xdr:rowOff>
    </xdr:to>
    <xdr:sp macro="[0]!GoToOperating" textlink="">
      <xdr:nvSpPr>
        <xdr:cNvPr id="7" name="Rounded Rectangle 6" descr="Open sheet to enter costs" title="Goods and Services Operating Costs"/>
        <xdr:cNvSpPr>
          <a:spLocks noChangeAspect="1"/>
        </xdr:cNvSpPr>
      </xdr:nvSpPr>
      <xdr:spPr>
        <a:xfrm>
          <a:off x="7801238" y="3836459"/>
          <a:ext cx="4105011" cy="384048"/>
        </a:xfrm>
        <a:prstGeom prst="roundRect">
          <a:avLst>
            <a:gd name="adj" fmla="val 13727"/>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effectLst/>
              <a:latin typeface="+mn-lt"/>
              <a:ea typeface="+mn-ea"/>
              <a:cs typeface="+mn-cs"/>
            </a:rPr>
            <a:t>Biens et services - coûts de fonctionnement</a:t>
          </a:r>
          <a:endParaRPr lang="en-CA" sz="1400" b="1">
            <a:solidFill>
              <a:sysClr val="windowText" lastClr="000000"/>
            </a:solidFill>
          </a:endParaRPr>
        </a:p>
      </xdr:txBody>
    </xdr:sp>
    <xdr:clientData/>
  </xdr:twoCellAnchor>
  <xdr:twoCellAnchor>
    <xdr:from>
      <xdr:col>22</xdr:col>
      <xdr:colOff>197114</xdr:colOff>
      <xdr:row>23</xdr:row>
      <xdr:rowOff>222250</xdr:rowOff>
    </xdr:from>
    <xdr:to>
      <xdr:col>36</xdr:col>
      <xdr:colOff>159395</xdr:colOff>
      <xdr:row>25</xdr:row>
      <xdr:rowOff>153861</xdr:rowOff>
    </xdr:to>
    <xdr:sp macro="[0]!GoToEmpCapital" textlink="">
      <xdr:nvSpPr>
        <xdr:cNvPr id="9" name="Rounded Rectangle 8" descr="Open sheet to enter costs" title="Employee Capital Costs"/>
        <xdr:cNvSpPr/>
      </xdr:nvSpPr>
      <xdr:spPr>
        <a:xfrm>
          <a:off x="7817114" y="5377656"/>
          <a:ext cx="4105656" cy="384049"/>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Personnel - coûts d'immobilisations </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xdr:from>
      <xdr:col>22</xdr:col>
      <xdr:colOff>202407</xdr:colOff>
      <xdr:row>21</xdr:row>
      <xdr:rowOff>154782</xdr:rowOff>
    </xdr:from>
    <xdr:to>
      <xdr:col>36</xdr:col>
      <xdr:colOff>164688</xdr:colOff>
      <xdr:row>23</xdr:row>
      <xdr:rowOff>87313</xdr:rowOff>
    </xdr:to>
    <xdr:sp macro="[0]!GoToEmpOperating" textlink="">
      <xdr:nvSpPr>
        <xdr:cNvPr id="10" name="Rounded Rectangle 9" descr="Open sheet to enter costs" title="Employee Operating Costs"/>
        <xdr:cNvSpPr/>
      </xdr:nvSpPr>
      <xdr:spPr>
        <a:xfrm>
          <a:off x="7822407" y="4857751"/>
          <a:ext cx="4105656" cy="384968"/>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Personnel - coûts de fonctionnement</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22</xdr:col>
      <xdr:colOff>202407</xdr:colOff>
      <xdr:row>26</xdr:row>
      <xdr:rowOff>11906</xdr:rowOff>
    </xdr:from>
    <xdr:to>
      <xdr:col>36</xdr:col>
      <xdr:colOff>166688</xdr:colOff>
      <xdr:row>29</xdr:row>
      <xdr:rowOff>11906</xdr:rowOff>
    </xdr:to>
    <xdr:sp macro="[0]!GoToEquipOperating" textlink="">
      <xdr:nvSpPr>
        <xdr:cNvPr id="11" name="Rounded Rectangle 10" descr="Open sheet to enter costs" title="Claimant-Owned Equipment Operating Costs"/>
        <xdr:cNvSpPr>
          <a:spLocks noChangeAspect="1"/>
        </xdr:cNvSpPr>
      </xdr:nvSpPr>
      <xdr:spPr>
        <a:xfrm>
          <a:off x="7822407" y="5845969"/>
          <a:ext cx="4107656" cy="571500"/>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Matériel appartenant à la municipalité - coûts de fonctionnement</a:t>
          </a:r>
          <a:endParaRPr lang="en-CA" sz="1400" b="1">
            <a:solidFill>
              <a:sysClr val="windowText" lastClr="000000"/>
            </a:solidFill>
            <a:effectLst/>
          </a:endParaRPr>
        </a:p>
        <a:p>
          <a:pPr algn="ctr"/>
          <a:endParaRPr lang="en-CA" sz="1400" b="1">
            <a:solidFill>
              <a:schemeClr val="tx1"/>
            </a:solidFill>
          </a:endParaRPr>
        </a:p>
      </xdr:txBody>
    </xdr:sp>
    <xdr:clientData/>
  </xdr:twoCellAnchor>
  <xdr:oneCellAnchor>
    <xdr:from>
      <xdr:col>22</xdr:col>
      <xdr:colOff>232834</xdr:colOff>
      <xdr:row>29</xdr:row>
      <xdr:rowOff>119063</xdr:rowOff>
    </xdr:from>
    <xdr:ext cx="4105656" cy="565099"/>
    <xdr:sp macro="[0]!GoToEquipCapital" textlink="">
      <xdr:nvSpPr>
        <xdr:cNvPr id="12" name="Rounded Rectangle 11" descr="Open sheet to enter costs" title="Claimant-Owned Equipment Capital Costs"/>
        <xdr:cNvSpPr/>
      </xdr:nvSpPr>
      <xdr:spPr>
        <a:xfrm>
          <a:off x="7852834" y="6524626"/>
          <a:ext cx="4105656" cy="565099"/>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Matériel appartenant à la municipalité - coûts d'immobilisations</a:t>
          </a:r>
          <a:endParaRPr lang="en-CA" sz="1400" b="1">
            <a:solidFill>
              <a:sysClr val="windowText" lastClr="000000"/>
            </a:solidFill>
            <a:effectLst/>
          </a:endParaRPr>
        </a:p>
        <a:p>
          <a:pPr algn="ctr"/>
          <a:endParaRPr lang="en-CA" sz="1400" b="1">
            <a:solidFill>
              <a:schemeClr val="tx1"/>
            </a:solidFill>
          </a:endParaRPr>
        </a:p>
      </xdr:txBody>
    </xdr:sp>
    <xdr:clientData/>
  </xdr:oneCellAnchor>
  <xdr:twoCellAnchor>
    <xdr:from>
      <xdr:col>22</xdr:col>
      <xdr:colOff>214313</xdr:colOff>
      <xdr:row>32</xdr:row>
      <xdr:rowOff>178594</xdr:rowOff>
    </xdr:from>
    <xdr:to>
      <xdr:col>36</xdr:col>
      <xdr:colOff>176594</xdr:colOff>
      <xdr:row>34</xdr:row>
      <xdr:rowOff>110204</xdr:rowOff>
    </xdr:to>
    <xdr:sp macro="[0]!GoToRevenue" textlink="">
      <xdr:nvSpPr>
        <xdr:cNvPr id="13" name="Rounded Rectangle 12" descr="Open sheet to enter costs" title="Disaster Related Revenue"/>
        <xdr:cNvSpPr>
          <a:spLocks noChangeAspect="1"/>
        </xdr:cNvSpPr>
      </xdr:nvSpPr>
      <xdr:spPr>
        <a:xfrm>
          <a:off x="7834313" y="7179469"/>
          <a:ext cx="4105656" cy="384048"/>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Recettes liées à la catastrophe</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xdr:from>
      <xdr:col>22</xdr:col>
      <xdr:colOff>232833</xdr:colOff>
      <xdr:row>35</xdr:row>
      <xdr:rowOff>2</xdr:rowOff>
    </xdr:from>
    <xdr:to>
      <xdr:col>36</xdr:col>
      <xdr:colOff>195114</xdr:colOff>
      <xdr:row>36</xdr:row>
      <xdr:rowOff>154782</xdr:rowOff>
    </xdr:to>
    <xdr:sp macro="[0]!GoToSummary" textlink="">
      <xdr:nvSpPr>
        <xdr:cNvPr id="14" name="Rounded Rectangle 13" descr="Open sheet to enter costs" title="Final Claim Summary"/>
        <xdr:cNvSpPr/>
      </xdr:nvSpPr>
      <xdr:spPr>
        <a:xfrm>
          <a:off x="7852833" y="7679533"/>
          <a:ext cx="4105656" cy="380999"/>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Sommaire de la demande</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xdr:from>
      <xdr:col>22</xdr:col>
      <xdr:colOff>232834</xdr:colOff>
      <xdr:row>37</xdr:row>
      <xdr:rowOff>23812</xdr:rowOff>
    </xdr:from>
    <xdr:to>
      <xdr:col>36</xdr:col>
      <xdr:colOff>195115</xdr:colOff>
      <xdr:row>38</xdr:row>
      <xdr:rowOff>181641</xdr:rowOff>
    </xdr:to>
    <xdr:sp macro="[0]!GoToFuture" textlink="">
      <xdr:nvSpPr>
        <xdr:cNvPr id="17" name="Rounded Rectangle 16" descr="Open sheet to enter costs" title="Calculating Future Estimated Costs"/>
        <xdr:cNvSpPr/>
      </xdr:nvSpPr>
      <xdr:spPr>
        <a:xfrm>
          <a:off x="7852834" y="8155781"/>
          <a:ext cx="4105656" cy="384048"/>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baseline="0">
              <a:solidFill>
                <a:schemeClr val="tx1"/>
              </a:solidFill>
              <a:effectLst/>
              <a:latin typeface="+mn-lt"/>
              <a:ea typeface="+mn-ea"/>
              <a:cs typeface="+mn-cs"/>
            </a:rPr>
            <a:t> </a:t>
          </a:r>
          <a:r>
            <a:rPr lang="en-CA" sz="1400" b="1" baseline="0">
              <a:solidFill>
                <a:sysClr val="windowText" lastClr="000000"/>
              </a:solidFill>
              <a:effectLst/>
              <a:latin typeface="+mn-lt"/>
              <a:ea typeface="+mn-ea"/>
              <a:cs typeface="+mn-cs"/>
            </a:rPr>
            <a:t>Coûts futurs estimatifs</a:t>
          </a:r>
          <a:endParaRPr lang="en-CA" sz="1400" b="1">
            <a:solidFill>
              <a:sysClr val="windowText" lastClr="000000"/>
            </a:solidFill>
            <a:effectLst/>
          </a:endParaRPr>
        </a:p>
        <a:p>
          <a:pPr marL="0" marR="0" indent="0" algn="ctr" defTabSz="914400" eaLnBrk="1" fontAlgn="auto" latinLnBrk="0" hangingPunct="1">
            <a:lnSpc>
              <a:spcPct val="100000"/>
            </a:lnSpc>
            <a:spcBef>
              <a:spcPts val="0"/>
            </a:spcBef>
            <a:spcAft>
              <a:spcPts val="0"/>
            </a:spcAft>
            <a:buClrTx/>
            <a:buSzTx/>
            <a:buFontTx/>
            <a:buNone/>
            <a:tabLst/>
            <a:defRPr/>
          </a:pPr>
          <a:endParaRPr lang="en-CA" sz="1400" b="1">
            <a:solidFill>
              <a:schemeClr val="tx1"/>
            </a:solidFill>
          </a:endParaRPr>
        </a:p>
      </xdr:txBody>
    </xdr:sp>
    <xdr:clientData/>
  </xdr:twoCellAnchor>
  <xdr:twoCellAnchor>
    <xdr:from>
      <xdr:col>22</xdr:col>
      <xdr:colOff>244739</xdr:colOff>
      <xdr:row>39</xdr:row>
      <xdr:rowOff>59532</xdr:rowOff>
    </xdr:from>
    <xdr:to>
      <xdr:col>36</xdr:col>
      <xdr:colOff>207020</xdr:colOff>
      <xdr:row>41</xdr:row>
      <xdr:rowOff>38766</xdr:rowOff>
    </xdr:to>
    <xdr:sp macro="[0]!GoToAttest" textlink="">
      <xdr:nvSpPr>
        <xdr:cNvPr id="16" name="Rounded Rectangle 15" descr="Go to sheet to attest to the claim" title="Attestation Form"/>
        <xdr:cNvSpPr/>
      </xdr:nvSpPr>
      <xdr:spPr>
        <a:xfrm>
          <a:off x="7864739" y="8643938"/>
          <a:ext cx="4105656" cy="384047"/>
        </a:xfrm>
        <a:prstGeom prst="roundRect">
          <a:avLst>
            <a:gd name="adj" fmla="val 22867"/>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baseline="0">
              <a:solidFill>
                <a:sysClr val="windowText" lastClr="000000"/>
              </a:solidFill>
              <a:effectLst/>
              <a:latin typeface="+mn-lt"/>
              <a:ea typeface="+mn-ea"/>
              <a:cs typeface="+mn-cs"/>
            </a:rPr>
            <a:t>Attestation</a:t>
          </a:r>
          <a:endParaRPr lang="en-CA" sz="1400" b="1">
            <a:solidFill>
              <a:sysClr val="windowText" lastClr="000000"/>
            </a:solidFill>
            <a:effectLst/>
          </a:endParaRPr>
        </a:p>
        <a:p>
          <a:pPr algn="l"/>
          <a:endParaRPr lang="en-CA" sz="1400" b="1">
            <a:solidFill>
              <a:schemeClr val="tx1"/>
            </a:solidFill>
          </a:endParaRPr>
        </a:p>
      </xdr:txBody>
    </xdr:sp>
    <xdr:clientData/>
  </xdr:twoCellAnchor>
  <xdr:twoCellAnchor>
    <xdr:from>
      <xdr:col>0</xdr:col>
      <xdr:colOff>71438</xdr:colOff>
      <xdr:row>32</xdr:row>
      <xdr:rowOff>71435</xdr:rowOff>
    </xdr:from>
    <xdr:to>
      <xdr:col>7</xdr:col>
      <xdr:colOff>130968</xdr:colOff>
      <xdr:row>37</xdr:row>
      <xdr:rowOff>142875</xdr:rowOff>
    </xdr:to>
    <xdr:sp macro="[0]!ShowAll" textlink="">
      <xdr:nvSpPr>
        <xdr:cNvPr id="18" name="Rounded Rectangle 17" descr="Unhide all sheets in the workbook so that you can print the entire workbook" title="Show Sheets Button"/>
        <xdr:cNvSpPr/>
      </xdr:nvSpPr>
      <xdr:spPr>
        <a:xfrm>
          <a:off x="71438" y="7072310"/>
          <a:ext cx="3036093" cy="1202534"/>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2000" b="1" baseline="0">
              <a:solidFill>
                <a:schemeClr val="tx1"/>
              </a:solidFill>
              <a:effectLst/>
              <a:latin typeface="+mn-lt"/>
              <a:ea typeface="+mn-ea"/>
              <a:cs typeface="+mn-cs"/>
            </a:rPr>
            <a:t>Afficher tous les onglets </a:t>
          </a:r>
          <a:r>
            <a:rPr lang="en-CA" sz="1200" b="1" baseline="0">
              <a:solidFill>
                <a:sysClr val="windowText" lastClr="000000"/>
              </a:solidFill>
              <a:effectLst/>
              <a:latin typeface="+mn-lt"/>
              <a:ea typeface="+mn-ea"/>
              <a:cs typeface="+mn-cs"/>
            </a:rPr>
            <a:t>(doivent être affichés pour imprimer le classeur au complet)</a:t>
          </a:r>
        </a:p>
        <a:p>
          <a:pPr marL="0" marR="0" indent="0" algn="l" defTabSz="914400" eaLnBrk="1" fontAlgn="auto" latinLnBrk="0" hangingPunct="1">
            <a:lnSpc>
              <a:spcPct val="100000"/>
            </a:lnSpc>
            <a:spcBef>
              <a:spcPts val="0"/>
            </a:spcBef>
            <a:spcAft>
              <a:spcPts val="0"/>
            </a:spcAft>
            <a:buClrTx/>
            <a:buSzTx/>
            <a:buFontTx/>
            <a:buNone/>
            <a:tabLst/>
            <a:defRPr/>
          </a:pPr>
          <a:endParaRPr lang="en-CA" sz="1200" b="1">
            <a:solidFill>
              <a:schemeClr val="tx1"/>
            </a:solidFill>
          </a:endParaRPr>
        </a:p>
      </xdr:txBody>
    </xdr:sp>
    <xdr:clientData/>
  </xdr:twoCellAnchor>
  <xdr:twoCellAnchor>
    <xdr:from>
      <xdr:col>8</xdr:col>
      <xdr:colOff>201707</xdr:colOff>
      <xdr:row>32</xdr:row>
      <xdr:rowOff>89646</xdr:rowOff>
    </xdr:from>
    <xdr:to>
      <xdr:col>15</xdr:col>
      <xdr:colOff>212911</xdr:colOff>
      <xdr:row>37</xdr:row>
      <xdr:rowOff>130969</xdr:rowOff>
    </xdr:to>
    <xdr:sp macro="[0]!HideAll" textlink="">
      <xdr:nvSpPr>
        <xdr:cNvPr id="19" name="Rounded Rectangle 18" descr="Hides all sheets in the workbook except the claimant home page and the attestation form" title="Hide Sheets Button"/>
        <xdr:cNvSpPr/>
      </xdr:nvSpPr>
      <xdr:spPr>
        <a:xfrm>
          <a:off x="3487832" y="7090521"/>
          <a:ext cx="2178142" cy="1172417"/>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2000" b="1" baseline="0">
              <a:solidFill>
                <a:sysClr val="windowText" lastClr="000000"/>
              </a:solidFill>
              <a:effectLst/>
              <a:latin typeface="+mn-lt"/>
              <a:ea typeface="+mn-ea"/>
              <a:cs typeface="+mn-cs"/>
            </a:rPr>
            <a:t>Masquer tous les onglets</a:t>
          </a:r>
          <a:endParaRPr lang="en-CA" sz="2000">
            <a:solidFill>
              <a:sysClr val="windowText" lastClr="0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CA" sz="2000" b="1">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1190625</xdr:colOff>
      <xdr:row>1</xdr:row>
      <xdr:rowOff>210343</xdr:rowOff>
    </xdr:from>
    <xdr:to>
      <xdr:col>5</xdr:col>
      <xdr:colOff>762000</xdr:colOff>
      <xdr:row>1</xdr:row>
      <xdr:rowOff>570343</xdr:rowOff>
    </xdr:to>
    <xdr:sp macro="[0]!SwitchToCapital" textlink="">
      <xdr:nvSpPr>
        <xdr:cNvPr id="6" name="Rounded Rectangle 5"/>
        <xdr:cNvSpPr/>
      </xdr:nvSpPr>
      <xdr:spPr>
        <a:xfrm>
          <a:off x="3698875" y="993510"/>
          <a:ext cx="3254375" cy="360000"/>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chemeClr val="tx1"/>
              </a:solidFill>
              <a:latin typeface="+mn-lt"/>
              <a:ea typeface="+mn-ea"/>
              <a:cs typeface="+mn-cs"/>
            </a:rPr>
            <a:t>Onglet des coûts d'immobilisations</a:t>
          </a:r>
        </a:p>
        <a:p>
          <a:pPr algn="l"/>
          <a:endParaRPr lang="en-CA" sz="1200" b="0">
            <a:solidFill>
              <a:schemeClr val="tx1"/>
            </a:solidFill>
          </a:endParaRPr>
        </a:p>
      </xdr:txBody>
    </xdr:sp>
    <xdr:clientData/>
  </xdr:twoCellAnchor>
  <xdr:twoCellAnchor>
    <xdr:from>
      <xdr:col>5</xdr:col>
      <xdr:colOff>1274762</xdr:colOff>
      <xdr:row>1</xdr:row>
      <xdr:rowOff>211136</xdr:rowOff>
    </xdr:from>
    <xdr:to>
      <xdr:col>6</xdr:col>
      <xdr:colOff>550333</xdr:colOff>
      <xdr:row>1</xdr:row>
      <xdr:rowOff>571136</xdr:rowOff>
    </xdr:to>
    <xdr:sp macro="[0]!GoHome" textlink="">
      <xdr:nvSpPr>
        <xdr:cNvPr id="7" name="Rounded Rectangle 6"/>
        <xdr:cNvSpPr/>
      </xdr:nvSpPr>
      <xdr:spPr>
        <a:xfrm>
          <a:off x="7466012" y="994303"/>
          <a:ext cx="2439988" cy="360000"/>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chemeClr val="tx1"/>
              </a:solidFill>
              <a:latin typeface="+mn-lt"/>
              <a:ea typeface="+mn-ea"/>
              <a:cs typeface="+mn-cs"/>
            </a:rPr>
            <a:t>Retour</a:t>
          </a:r>
          <a:r>
            <a:rPr lang="en-CA" sz="1200" b="1">
              <a:solidFill>
                <a:sysClr val="windowText" lastClr="000000"/>
              </a:solidFill>
              <a:effectLst/>
              <a:latin typeface="+mn-lt"/>
              <a:ea typeface="+mn-ea"/>
              <a:cs typeface="+mn-cs"/>
            </a:rPr>
            <a:t> </a:t>
          </a:r>
          <a:r>
            <a:rPr lang="en-CA" sz="1400" b="1">
              <a:solidFill>
                <a:schemeClr val="tx1"/>
              </a:solidFill>
              <a:latin typeface="+mn-lt"/>
              <a:ea typeface="+mn-ea"/>
              <a:cs typeface="+mn-cs"/>
            </a:rPr>
            <a:t>à la page d'accueil</a:t>
          </a:r>
        </a:p>
        <a:p>
          <a:pPr algn="ctr"/>
          <a:endParaRPr lang="en-CA" sz="1400" b="1">
            <a:solidFill>
              <a:schemeClr val="tx1"/>
            </a:solidFill>
          </a:endParaRPr>
        </a:p>
      </xdr:txBody>
    </xdr:sp>
    <xdr:clientData/>
  </xdr:twoCellAnchor>
  <xdr:twoCellAnchor editAs="oneCell">
    <xdr:from>
      <xdr:col>9</xdr:col>
      <xdr:colOff>104775</xdr:colOff>
      <xdr:row>26</xdr:row>
      <xdr:rowOff>76200</xdr:rowOff>
    </xdr:from>
    <xdr:to>
      <xdr:col>10</xdr:col>
      <xdr:colOff>595312</xdr:colOff>
      <xdr:row>29</xdr:row>
      <xdr:rowOff>83343</xdr:rowOff>
    </xdr:to>
    <xdr:sp macro="[0]!AddRow" textlink="">
      <xdr:nvSpPr>
        <xdr:cNvPr id="5" name="Rounded Rectangle 4"/>
        <xdr:cNvSpPr/>
      </xdr:nvSpPr>
      <xdr:spPr>
        <a:xfrm>
          <a:off x="13582650" y="7541419"/>
          <a:ext cx="1562100" cy="566737"/>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Ajouter une ligne</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0</xdr:col>
      <xdr:colOff>0</xdr:colOff>
      <xdr:row>0</xdr:row>
      <xdr:rowOff>0</xdr:rowOff>
    </xdr:from>
    <xdr:to>
      <xdr:col>3</xdr:col>
      <xdr:colOff>523875</xdr:colOff>
      <xdr:row>0</xdr:row>
      <xdr:rowOff>639759</xdr:rowOff>
    </xdr:to>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40719" cy="639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1345406</xdr:colOff>
      <xdr:row>1</xdr:row>
      <xdr:rowOff>11378</xdr:rowOff>
    </xdr:from>
    <xdr:to>
      <xdr:col>5</xdr:col>
      <xdr:colOff>2024062</xdr:colOff>
      <xdr:row>1</xdr:row>
      <xdr:rowOff>371378</xdr:rowOff>
    </xdr:to>
    <xdr:sp macro="[0]!SwitchToOperating" textlink="">
      <xdr:nvSpPr>
        <xdr:cNvPr id="4" name="Rounded Rectangle 3"/>
        <xdr:cNvSpPr/>
      </xdr:nvSpPr>
      <xdr:spPr>
        <a:xfrm>
          <a:off x="3857625" y="963878"/>
          <a:ext cx="3345656" cy="360000"/>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Onglet</a:t>
          </a:r>
          <a:r>
            <a:rPr lang="en-CA" sz="1400" b="1" baseline="0">
              <a:solidFill>
                <a:sysClr val="windowText" lastClr="000000"/>
              </a:solidFill>
              <a:effectLst/>
              <a:latin typeface="+mn-lt"/>
              <a:ea typeface="+mn-ea"/>
              <a:cs typeface="+mn-cs"/>
            </a:rPr>
            <a:t> des coûts de fonctionnement</a:t>
          </a:r>
          <a:endParaRPr lang="en-CA" sz="1400" b="1">
            <a:solidFill>
              <a:sysClr val="windowText" lastClr="000000"/>
            </a:solidFill>
            <a:effectLst/>
          </a:endParaRPr>
        </a:p>
        <a:p>
          <a:pPr algn="l"/>
          <a:endParaRPr lang="en-CA" sz="1400" b="1">
            <a:solidFill>
              <a:schemeClr val="tx1"/>
            </a:solidFill>
          </a:endParaRPr>
        </a:p>
      </xdr:txBody>
    </xdr:sp>
    <xdr:clientData/>
  </xdr:twoCellAnchor>
  <xdr:twoCellAnchor editAs="absolute">
    <xdr:from>
      <xdr:col>5</xdr:col>
      <xdr:colOff>2672291</xdr:colOff>
      <xdr:row>0</xdr:row>
      <xdr:rowOff>944034</xdr:rowOff>
    </xdr:from>
    <xdr:to>
      <xdr:col>7</xdr:col>
      <xdr:colOff>105832</xdr:colOff>
      <xdr:row>1</xdr:row>
      <xdr:rowOff>351534</xdr:rowOff>
    </xdr:to>
    <xdr:sp macro="[0]!GoHome" textlink="">
      <xdr:nvSpPr>
        <xdr:cNvPr id="5" name="Rounded Rectangle 4"/>
        <xdr:cNvSpPr/>
      </xdr:nvSpPr>
      <xdr:spPr>
        <a:xfrm>
          <a:off x="7858124" y="944034"/>
          <a:ext cx="2492375" cy="360000"/>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9</xdr:col>
      <xdr:colOff>1035844</xdr:colOff>
      <xdr:row>24</xdr:row>
      <xdr:rowOff>85725</xdr:rowOff>
    </xdr:from>
    <xdr:to>
      <xdr:col>11</xdr:col>
      <xdr:colOff>117475</xdr:colOff>
      <xdr:row>27</xdr:row>
      <xdr:rowOff>142875</xdr:rowOff>
    </xdr:to>
    <xdr:sp macro="[0]!AddRow" textlink="">
      <xdr:nvSpPr>
        <xdr:cNvPr id="6" name="Rounded Rectangle 5"/>
        <xdr:cNvSpPr/>
      </xdr:nvSpPr>
      <xdr:spPr>
        <a:xfrm>
          <a:off x="14358938" y="6181725"/>
          <a:ext cx="1450975" cy="616744"/>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Ajouter une ligne</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0</xdr:col>
      <xdr:colOff>1</xdr:colOff>
      <xdr:row>0</xdr:row>
      <xdr:rowOff>1</xdr:rowOff>
    </xdr:from>
    <xdr:to>
      <xdr:col>3</xdr:col>
      <xdr:colOff>400865</xdr:colOff>
      <xdr:row>0</xdr:row>
      <xdr:rowOff>595313</xdr:rowOff>
    </xdr:to>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 y="1"/>
          <a:ext cx="1817708" cy="5953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529166</xdr:colOff>
      <xdr:row>0</xdr:row>
      <xdr:rowOff>867834</xdr:rowOff>
    </xdr:from>
    <xdr:to>
      <xdr:col>7</xdr:col>
      <xdr:colOff>472814</xdr:colOff>
      <xdr:row>2</xdr:row>
      <xdr:rowOff>1853</xdr:rowOff>
    </xdr:to>
    <xdr:sp macro="[0]!SwitchToEmpCapital" textlink="">
      <xdr:nvSpPr>
        <xdr:cNvPr id="4" name="Rounded Rectangle 3"/>
        <xdr:cNvSpPr/>
      </xdr:nvSpPr>
      <xdr:spPr>
        <a:xfrm>
          <a:off x="3788833" y="867834"/>
          <a:ext cx="3245648" cy="393436"/>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Onglet des coûts d'immobilisations</a:t>
          </a:r>
          <a:endParaRPr lang="en-CA" sz="1400">
            <a:solidFill>
              <a:sysClr val="windowText" lastClr="000000"/>
            </a:solidFill>
            <a:effectLst/>
          </a:endParaRPr>
        </a:p>
        <a:p>
          <a:pPr algn="l"/>
          <a:endParaRPr lang="en-CA" sz="1400" b="1">
            <a:solidFill>
              <a:schemeClr val="tx1"/>
            </a:solidFill>
          </a:endParaRPr>
        </a:p>
      </xdr:txBody>
    </xdr:sp>
    <xdr:clientData/>
  </xdr:twoCellAnchor>
  <xdr:twoCellAnchor>
    <xdr:from>
      <xdr:col>8</xdr:col>
      <xdr:colOff>130702</xdr:colOff>
      <xdr:row>0</xdr:row>
      <xdr:rowOff>846667</xdr:rowOff>
    </xdr:from>
    <xdr:to>
      <xdr:col>10</xdr:col>
      <xdr:colOff>222250</xdr:colOff>
      <xdr:row>1</xdr:row>
      <xdr:rowOff>380734</xdr:rowOff>
    </xdr:to>
    <xdr:sp macro="[0]!GoHome" textlink="">
      <xdr:nvSpPr>
        <xdr:cNvPr id="5" name="Rounded Rectangle 4"/>
        <xdr:cNvSpPr/>
      </xdr:nvSpPr>
      <xdr:spPr>
        <a:xfrm>
          <a:off x="7401452" y="846667"/>
          <a:ext cx="2430465" cy="412484"/>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a:solidFill>
              <a:sysClr val="windowText" lastClr="000000"/>
            </a:solidFill>
            <a:effectLst/>
          </a:endParaRPr>
        </a:p>
        <a:p>
          <a:pPr algn="ctr"/>
          <a:endParaRPr lang="en-CA" sz="1400" b="1">
            <a:solidFill>
              <a:schemeClr val="tx1"/>
            </a:solidFill>
          </a:endParaRPr>
        </a:p>
      </xdr:txBody>
    </xdr:sp>
    <xdr:clientData/>
  </xdr:twoCellAnchor>
  <xdr:twoCellAnchor editAs="oneCell">
    <xdr:from>
      <xdr:col>13</xdr:col>
      <xdr:colOff>68791</xdr:colOff>
      <xdr:row>32</xdr:row>
      <xdr:rowOff>151342</xdr:rowOff>
    </xdr:from>
    <xdr:to>
      <xdr:col>14</xdr:col>
      <xdr:colOff>371209</xdr:colOff>
      <xdr:row>36</xdr:row>
      <xdr:rowOff>10583</xdr:rowOff>
    </xdr:to>
    <xdr:sp macro="[0]!AddRow" textlink="">
      <xdr:nvSpPr>
        <xdr:cNvPr id="6" name="Rounded Rectangle 5"/>
        <xdr:cNvSpPr/>
      </xdr:nvSpPr>
      <xdr:spPr>
        <a:xfrm>
          <a:off x="13276791" y="7718425"/>
          <a:ext cx="1244335" cy="578908"/>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Ajouter une ligne</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0</xdr:col>
      <xdr:colOff>21167</xdr:colOff>
      <xdr:row>0</xdr:row>
      <xdr:rowOff>21167</xdr:rowOff>
    </xdr:from>
    <xdr:to>
      <xdr:col>3</xdr:col>
      <xdr:colOff>167678</xdr:colOff>
      <xdr:row>0</xdr:row>
      <xdr:rowOff>603251</xdr:rowOff>
    </xdr:to>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167" y="21167"/>
          <a:ext cx="1765761" cy="582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603250</xdr:colOff>
      <xdr:row>0</xdr:row>
      <xdr:rowOff>1063624</xdr:rowOff>
    </xdr:from>
    <xdr:to>
      <xdr:col>7</xdr:col>
      <xdr:colOff>412750</xdr:colOff>
      <xdr:row>1</xdr:row>
      <xdr:rowOff>400843</xdr:rowOff>
    </xdr:to>
    <xdr:sp macro="[0]!SwitchToEmpOperating" textlink="">
      <xdr:nvSpPr>
        <xdr:cNvPr id="4" name="Rounded Rectangle 3"/>
        <xdr:cNvSpPr/>
      </xdr:nvSpPr>
      <xdr:spPr>
        <a:xfrm>
          <a:off x="4275667" y="1063624"/>
          <a:ext cx="3312583" cy="416719"/>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Onglet des coûts de fonctionnement</a:t>
          </a:r>
          <a:endParaRPr lang="en-CA" sz="1400" b="1">
            <a:solidFill>
              <a:sysClr val="windowText" lastClr="000000"/>
            </a:solidFill>
            <a:effectLst/>
          </a:endParaRPr>
        </a:p>
        <a:p>
          <a:pPr algn="l"/>
          <a:endParaRPr lang="en-CA" sz="1400" b="1">
            <a:solidFill>
              <a:schemeClr val="tx1"/>
            </a:solidFill>
          </a:endParaRPr>
        </a:p>
      </xdr:txBody>
    </xdr:sp>
    <xdr:clientData/>
  </xdr:twoCellAnchor>
  <xdr:twoCellAnchor>
    <xdr:from>
      <xdr:col>8</xdr:col>
      <xdr:colOff>636322</xdr:colOff>
      <xdr:row>0</xdr:row>
      <xdr:rowOff>1041133</xdr:rowOff>
    </xdr:from>
    <xdr:to>
      <xdr:col>10</xdr:col>
      <xdr:colOff>814917</xdr:colOff>
      <xdr:row>1</xdr:row>
      <xdr:rowOff>382257</xdr:rowOff>
    </xdr:to>
    <xdr:sp macro="[0]!GoHome" textlink="">
      <xdr:nvSpPr>
        <xdr:cNvPr id="5" name="Rounded Rectangle 4"/>
        <xdr:cNvSpPr/>
      </xdr:nvSpPr>
      <xdr:spPr>
        <a:xfrm>
          <a:off x="8721989" y="1041133"/>
          <a:ext cx="2475178" cy="420624"/>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b="1">
            <a:solidFill>
              <a:sysClr val="windowText" lastClr="000000"/>
            </a:solidFill>
            <a:effectLst/>
          </a:endParaRPr>
        </a:p>
        <a:p>
          <a:pPr algn="l"/>
          <a:endParaRPr lang="en-CA" sz="1400" b="1">
            <a:solidFill>
              <a:schemeClr val="tx1"/>
            </a:solidFill>
          </a:endParaRPr>
        </a:p>
      </xdr:txBody>
    </xdr:sp>
    <xdr:clientData/>
  </xdr:twoCellAnchor>
  <xdr:twoCellAnchor editAs="oneCell">
    <xdr:from>
      <xdr:col>13</xdr:col>
      <xdr:colOff>166688</xdr:colOff>
      <xdr:row>34</xdr:row>
      <xdr:rowOff>83344</xdr:rowOff>
    </xdr:from>
    <xdr:to>
      <xdr:col>14</xdr:col>
      <xdr:colOff>35718</xdr:colOff>
      <xdr:row>37</xdr:row>
      <xdr:rowOff>116416</xdr:rowOff>
    </xdr:to>
    <xdr:sp macro="[0]!AddRow" textlink="">
      <xdr:nvSpPr>
        <xdr:cNvPr id="7" name="Rounded Rectangle 6"/>
        <xdr:cNvSpPr/>
      </xdr:nvSpPr>
      <xdr:spPr>
        <a:xfrm>
          <a:off x="14115521" y="8137261"/>
          <a:ext cx="1181364" cy="572822"/>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Ajouter une ligne</a:t>
          </a:r>
          <a:endParaRPr lang="en-CA" sz="1400">
            <a:solidFill>
              <a:sysClr val="windowText" lastClr="000000"/>
            </a:solidFill>
            <a:effectLst/>
          </a:endParaRPr>
        </a:p>
        <a:p>
          <a:pPr algn="ctr"/>
          <a:endParaRPr lang="en-CA" sz="1400" b="1">
            <a:solidFill>
              <a:schemeClr val="tx1"/>
            </a:solidFill>
          </a:endParaRPr>
        </a:p>
      </xdr:txBody>
    </xdr:sp>
    <xdr:clientData/>
  </xdr:twoCellAnchor>
  <xdr:twoCellAnchor editAs="oneCell">
    <xdr:from>
      <xdr:col>0</xdr:col>
      <xdr:colOff>52916</xdr:colOff>
      <xdr:row>0</xdr:row>
      <xdr:rowOff>42333</xdr:rowOff>
    </xdr:from>
    <xdr:to>
      <xdr:col>3</xdr:col>
      <xdr:colOff>40677</xdr:colOff>
      <xdr:row>0</xdr:row>
      <xdr:rowOff>624417</xdr:rowOff>
    </xdr:to>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16" y="42333"/>
          <a:ext cx="1765761" cy="582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1206500</xdr:colOff>
      <xdr:row>2</xdr:row>
      <xdr:rowOff>224631</xdr:rowOff>
    </xdr:from>
    <xdr:to>
      <xdr:col>8</xdr:col>
      <xdr:colOff>243416</xdr:colOff>
      <xdr:row>2</xdr:row>
      <xdr:rowOff>571500</xdr:rowOff>
    </xdr:to>
    <xdr:sp macro="[0]!SwitchToEquipCapital" textlink="">
      <xdr:nvSpPr>
        <xdr:cNvPr id="2" name="Rounded Rectangle 1"/>
        <xdr:cNvSpPr/>
      </xdr:nvSpPr>
      <xdr:spPr>
        <a:xfrm>
          <a:off x="3376083" y="1208881"/>
          <a:ext cx="3397250" cy="346869"/>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chemeClr val="tx1"/>
              </a:solidFill>
            </a:rPr>
            <a:t>  </a:t>
          </a:r>
          <a:r>
            <a:rPr lang="en-CA" sz="1400" b="1">
              <a:solidFill>
                <a:sysClr val="windowText" lastClr="000000"/>
              </a:solidFill>
              <a:effectLst/>
              <a:latin typeface="+mn-lt"/>
              <a:ea typeface="+mn-ea"/>
              <a:cs typeface="+mn-cs"/>
            </a:rPr>
            <a:t>Onglet des coûts d'immobilisations</a:t>
          </a:r>
          <a:endParaRPr lang="en-CA" sz="1400" b="1">
            <a:solidFill>
              <a:sysClr val="windowText" lastClr="000000"/>
            </a:solidFill>
            <a:effectLst/>
          </a:endParaRPr>
        </a:p>
        <a:p>
          <a:pPr algn="l"/>
          <a:endParaRPr lang="en-CA" sz="1400" b="1">
            <a:solidFill>
              <a:schemeClr val="tx1"/>
            </a:solidFill>
          </a:endParaRPr>
        </a:p>
      </xdr:txBody>
    </xdr:sp>
    <xdr:clientData/>
  </xdr:twoCellAnchor>
  <xdr:twoCellAnchor>
    <xdr:from>
      <xdr:col>8</xdr:col>
      <xdr:colOff>845609</xdr:colOff>
      <xdr:row>2</xdr:row>
      <xdr:rowOff>203465</xdr:rowOff>
    </xdr:from>
    <xdr:to>
      <xdr:col>10</xdr:col>
      <xdr:colOff>899583</xdr:colOff>
      <xdr:row>2</xdr:row>
      <xdr:rowOff>550334</xdr:rowOff>
    </xdr:to>
    <xdr:sp macro="[0]!GoHome" textlink="">
      <xdr:nvSpPr>
        <xdr:cNvPr id="3" name="Rounded Rectangle 2"/>
        <xdr:cNvSpPr/>
      </xdr:nvSpPr>
      <xdr:spPr>
        <a:xfrm>
          <a:off x="7375526" y="1187715"/>
          <a:ext cx="2530474" cy="346869"/>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b="1">
            <a:solidFill>
              <a:sysClr val="windowText" lastClr="000000"/>
            </a:solidFill>
            <a:effectLst/>
          </a:endParaRPr>
        </a:p>
        <a:p>
          <a:pPr algn="l"/>
          <a:endParaRPr lang="en-CA" sz="1400" b="1">
            <a:solidFill>
              <a:schemeClr val="tx1"/>
            </a:solidFill>
          </a:endParaRPr>
        </a:p>
      </xdr:txBody>
    </xdr:sp>
    <xdr:clientData/>
  </xdr:twoCellAnchor>
  <xdr:twoCellAnchor editAs="oneCell">
    <xdr:from>
      <xdr:col>10</xdr:col>
      <xdr:colOff>1830916</xdr:colOff>
      <xdr:row>35</xdr:row>
      <xdr:rowOff>120649</xdr:rowOff>
    </xdr:from>
    <xdr:to>
      <xdr:col>12</xdr:col>
      <xdr:colOff>256116</xdr:colOff>
      <xdr:row>39</xdr:row>
      <xdr:rowOff>63500</xdr:rowOff>
    </xdr:to>
    <xdr:sp macro="[0]!AddRow" textlink="">
      <xdr:nvSpPr>
        <xdr:cNvPr id="4" name="Rounded Rectangle 3"/>
        <xdr:cNvSpPr/>
      </xdr:nvSpPr>
      <xdr:spPr>
        <a:xfrm>
          <a:off x="10837333" y="9158816"/>
          <a:ext cx="1515533" cy="577851"/>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j-lt"/>
              <a:ea typeface="+mn-ea"/>
              <a:cs typeface="+mn-cs"/>
            </a:rPr>
            <a:t>Ajouter une ligne</a:t>
          </a:r>
          <a:endParaRPr lang="en-CA" sz="1400" b="1">
            <a:solidFill>
              <a:sysClr val="windowText" lastClr="000000"/>
            </a:solidFill>
            <a:effectLst/>
            <a:latin typeface="+mj-lt"/>
          </a:endParaRPr>
        </a:p>
        <a:p>
          <a:pPr algn="ctr"/>
          <a:endParaRPr lang="en-CA" sz="1200" b="1">
            <a:solidFill>
              <a:schemeClr val="tx1"/>
            </a:solidFill>
          </a:endParaRPr>
        </a:p>
      </xdr:txBody>
    </xdr:sp>
    <xdr:clientData/>
  </xdr:twoCellAnchor>
  <xdr:twoCellAnchor editAs="oneCell">
    <xdr:from>
      <xdr:col>0</xdr:col>
      <xdr:colOff>0</xdr:colOff>
      <xdr:row>0</xdr:row>
      <xdr:rowOff>0</xdr:rowOff>
    </xdr:from>
    <xdr:to>
      <xdr:col>3</xdr:col>
      <xdr:colOff>527511</xdr:colOff>
      <xdr:row>0</xdr:row>
      <xdr:rowOff>582084</xdr:rowOff>
    </xdr:to>
    <xdr:pic>
      <xdr:nvPicPr>
        <xdr:cNvPr id="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65761" cy="582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1471083</xdr:colOff>
      <xdr:row>1</xdr:row>
      <xdr:rowOff>130705</xdr:rowOff>
    </xdr:from>
    <xdr:to>
      <xdr:col>7</xdr:col>
      <xdr:colOff>719666</xdr:colOff>
      <xdr:row>2</xdr:row>
      <xdr:rowOff>21167</xdr:rowOff>
    </xdr:to>
    <xdr:sp macro="[0]!SwitchToEquipOperating" textlink="">
      <xdr:nvSpPr>
        <xdr:cNvPr id="2" name="Rounded Rectangle 1"/>
        <xdr:cNvSpPr/>
      </xdr:nvSpPr>
      <xdr:spPr>
        <a:xfrm>
          <a:off x="3778250" y="797455"/>
          <a:ext cx="3312583" cy="430212"/>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Onglet des coûts de fonctionnement</a:t>
          </a:r>
          <a:endParaRPr lang="en-CA" sz="1400" b="1">
            <a:solidFill>
              <a:sysClr val="windowText" lastClr="000000"/>
            </a:solidFill>
            <a:effectLst/>
          </a:endParaRPr>
        </a:p>
        <a:p>
          <a:pPr algn="l"/>
          <a:endParaRPr lang="en-CA" sz="1400" b="1">
            <a:solidFill>
              <a:sysClr val="windowText" lastClr="000000"/>
            </a:solidFill>
          </a:endParaRPr>
        </a:p>
      </xdr:txBody>
    </xdr:sp>
    <xdr:clientData/>
  </xdr:twoCellAnchor>
  <xdr:twoCellAnchor>
    <xdr:from>
      <xdr:col>8</xdr:col>
      <xdr:colOff>551388</xdr:colOff>
      <xdr:row>1</xdr:row>
      <xdr:rowOff>116152</xdr:rowOff>
    </xdr:from>
    <xdr:to>
      <xdr:col>10</xdr:col>
      <xdr:colOff>497416</xdr:colOff>
      <xdr:row>1</xdr:row>
      <xdr:rowOff>529168</xdr:rowOff>
    </xdr:to>
    <xdr:sp macro="[0]!GoHome" textlink="">
      <xdr:nvSpPr>
        <xdr:cNvPr id="3" name="Rounded Rectangle 2"/>
        <xdr:cNvSpPr/>
      </xdr:nvSpPr>
      <xdr:spPr>
        <a:xfrm>
          <a:off x="7811555" y="782902"/>
          <a:ext cx="2454278" cy="413016"/>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11</xdr:col>
      <xdr:colOff>127001</xdr:colOff>
      <xdr:row>25</xdr:row>
      <xdr:rowOff>139700</xdr:rowOff>
    </xdr:from>
    <xdr:to>
      <xdr:col>11</xdr:col>
      <xdr:colOff>1595967</xdr:colOff>
      <xdr:row>29</xdr:row>
      <xdr:rowOff>63500</xdr:rowOff>
    </xdr:to>
    <xdr:sp macro="[0]!AddRow" textlink="">
      <xdr:nvSpPr>
        <xdr:cNvPr id="4" name="Rounded Rectangle 3"/>
        <xdr:cNvSpPr/>
      </xdr:nvSpPr>
      <xdr:spPr>
        <a:xfrm>
          <a:off x="12022668" y="7590367"/>
          <a:ext cx="1468966" cy="569383"/>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Ajouter une ligne</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1</xdr:col>
      <xdr:colOff>52917</xdr:colOff>
      <xdr:row>0</xdr:row>
      <xdr:rowOff>42333</xdr:rowOff>
    </xdr:from>
    <xdr:to>
      <xdr:col>3</xdr:col>
      <xdr:colOff>538094</xdr:colOff>
      <xdr:row>0</xdr:row>
      <xdr:rowOff>624417</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42333"/>
          <a:ext cx="1765761" cy="582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2124865</xdr:colOff>
      <xdr:row>0</xdr:row>
      <xdr:rowOff>59794</xdr:rowOff>
    </xdr:from>
    <xdr:to>
      <xdr:col>4</xdr:col>
      <xdr:colOff>533400</xdr:colOff>
      <xdr:row>0</xdr:row>
      <xdr:rowOff>419794</xdr:rowOff>
    </xdr:to>
    <xdr:sp macro="[0]!GoHome" textlink="">
      <xdr:nvSpPr>
        <xdr:cNvPr id="3" name="Rounded Rectangle 2"/>
        <xdr:cNvSpPr/>
      </xdr:nvSpPr>
      <xdr:spPr>
        <a:xfrm>
          <a:off x="4925215" y="59794"/>
          <a:ext cx="2618585" cy="360000"/>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a:solidFill>
              <a:sysClr val="windowText" lastClr="000000"/>
            </a:solidFill>
            <a:effectLst/>
          </a:endParaRPr>
        </a:p>
        <a:p>
          <a:pPr algn="ctr"/>
          <a:endParaRPr lang="en-CA" sz="1400" b="1">
            <a:solidFill>
              <a:schemeClr val="tx1"/>
            </a:solidFill>
          </a:endParaRPr>
        </a:p>
      </xdr:txBody>
    </xdr:sp>
    <xdr:clientData/>
  </xdr:twoCellAnchor>
  <xdr:twoCellAnchor editAs="oneCell">
    <xdr:from>
      <xdr:col>5</xdr:col>
      <xdr:colOff>1007267</xdr:colOff>
      <xdr:row>20</xdr:row>
      <xdr:rowOff>85724</xdr:rowOff>
    </xdr:from>
    <xdr:to>
      <xdr:col>6</xdr:col>
      <xdr:colOff>885825</xdr:colOff>
      <xdr:row>24</xdr:row>
      <xdr:rowOff>95250</xdr:rowOff>
    </xdr:to>
    <xdr:sp macro="[0]!AddRow" textlink="">
      <xdr:nvSpPr>
        <xdr:cNvPr id="4" name="Rounded Rectangle 3"/>
        <xdr:cNvSpPr/>
      </xdr:nvSpPr>
      <xdr:spPr>
        <a:xfrm>
          <a:off x="10458184" y="5218641"/>
          <a:ext cx="1381391" cy="665692"/>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Ajouter une ligne</a:t>
          </a:r>
          <a:endParaRPr lang="en-CA" sz="1400" b="1">
            <a:solidFill>
              <a:sysClr val="windowText" lastClr="000000"/>
            </a:solidFill>
            <a:effectLst/>
          </a:endParaRPr>
        </a:p>
        <a:p>
          <a:pPr algn="ctr"/>
          <a:endParaRPr lang="en-CA" sz="1400" b="1">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3426884</xdr:colOff>
      <xdr:row>1</xdr:row>
      <xdr:rowOff>210608</xdr:rowOff>
    </xdr:from>
    <xdr:to>
      <xdr:col>4</xdr:col>
      <xdr:colOff>590550</xdr:colOff>
      <xdr:row>1</xdr:row>
      <xdr:rowOff>570608</xdr:rowOff>
    </xdr:to>
    <xdr:sp macro="[0]!GoHome" textlink="">
      <xdr:nvSpPr>
        <xdr:cNvPr id="2" name="Rounded Rectangle 1"/>
        <xdr:cNvSpPr/>
      </xdr:nvSpPr>
      <xdr:spPr>
        <a:xfrm>
          <a:off x="4369859" y="763058"/>
          <a:ext cx="2507191" cy="360000"/>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b="1">
            <a:solidFill>
              <a:sysClr val="windowText" lastClr="000000"/>
            </a:solidFill>
            <a:effectLst/>
          </a:endParaRPr>
        </a:p>
        <a:p>
          <a:pPr algn="l"/>
          <a:endParaRPr lang="en-CA" sz="1400" b="1">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3060434</xdr:colOff>
      <xdr:row>1</xdr:row>
      <xdr:rowOff>202405</xdr:rowOff>
    </xdr:from>
    <xdr:to>
      <xdr:col>4</xdr:col>
      <xdr:colOff>1400175</xdr:colOff>
      <xdr:row>1</xdr:row>
      <xdr:rowOff>564522</xdr:rowOff>
    </xdr:to>
    <xdr:sp macro="[0]!GoHome" textlink="">
      <xdr:nvSpPr>
        <xdr:cNvPr id="5" name="Rounded Rectangle 4"/>
        <xdr:cNvSpPr/>
      </xdr:nvSpPr>
      <xdr:spPr>
        <a:xfrm>
          <a:off x="5756009" y="840580"/>
          <a:ext cx="2454541" cy="362117"/>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6</xdr:col>
      <xdr:colOff>144992</xdr:colOff>
      <xdr:row>34</xdr:row>
      <xdr:rowOff>120649</xdr:rowOff>
    </xdr:from>
    <xdr:to>
      <xdr:col>7</xdr:col>
      <xdr:colOff>2383</xdr:colOff>
      <xdr:row>38</xdr:row>
      <xdr:rowOff>46566</xdr:rowOff>
    </xdr:to>
    <xdr:sp macro="[0]!AddRow" textlink="">
      <xdr:nvSpPr>
        <xdr:cNvPr id="4" name="Rounded Rectangle 3"/>
        <xdr:cNvSpPr/>
      </xdr:nvSpPr>
      <xdr:spPr>
        <a:xfrm>
          <a:off x="11632142" y="8283574"/>
          <a:ext cx="1552841" cy="573617"/>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Ajouter une ligne</a:t>
          </a:r>
          <a:endParaRPr lang="en-CA" sz="1400" b="1">
            <a:solidFill>
              <a:sysClr val="windowText" lastClr="000000"/>
            </a:solidFill>
            <a:effectLst/>
          </a:endParaRPr>
        </a:p>
        <a:p>
          <a:pPr algn="ctr"/>
          <a:endParaRPr lang="en-CA" sz="1400" b="1">
            <a:solidFill>
              <a:schemeClr val="tx1"/>
            </a:solidFill>
          </a:endParaRPr>
        </a:p>
      </xdr:txBody>
    </xdr:sp>
    <xdr:clientData/>
  </xdr:twoCellAnchor>
  <xdr:twoCellAnchor editAs="oneCell">
    <xdr:from>
      <xdr:col>1</xdr:col>
      <xdr:colOff>32808</xdr:colOff>
      <xdr:row>0</xdr:row>
      <xdr:rowOff>0</xdr:rowOff>
    </xdr:from>
    <xdr:to>
      <xdr:col>2</xdr:col>
      <xdr:colOff>426000</xdr:colOff>
      <xdr:row>0</xdr:row>
      <xdr:rowOff>595312</xdr:rowOff>
    </xdr:to>
    <xdr:pic>
      <xdr:nvPicPr>
        <xdr:cNvPr id="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2358" y="0"/>
          <a:ext cx="1812417" cy="5953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xdr:row>
      <xdr:rowOff>1</xdr:rowOff>
    </xdr:from>
    <xdr:to>
      <xdr:col>8</xdr:col>
      <xdr:colOff>0</xdr:colOff>
      <xdr:row>10</xdr:row>
      <xdr:rowOff>84667</xdr:rowOff>
    </xdr:to>
    <xdr:sp macro="" textlink="">
      <xdr:nvSpPr>
        <xdr:cNvPr id="3" name="TextBox 2"/>
        <xdr:cNvSpPr txBox="1"/>
      </xdr:nvSpPr>
      <xdr:spPr>
        <a:xfrm>
          <a:off x="201083" y="1090084"/>
          <a:ext cx="12403667" cy="1703916"/>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CA" sz="1200" b="1">
              <a:latin typeface="Arial" panose="020B0604020202020204" pitchFamily="34" charset="0"/>
              <a:cs typeface="Arial" panose="020B0604020202020204" pitchFamily="34" charset="0"/>
            </a:rPr>
            <a:t>Attestation:</a:t>
          </a:r>
        </a:p>
        <a:p>
          <a:pPr algn="l"/>
          <a:endParaRPr lang="en-CA" sz="1200" b="1">
            <a:latin typeface="Arial" panose="020B0604020202020204" pitchFamily="34" charset="0"/>
            <a:cs typeface="Arial" panose="020B0604020202020204" pitchFamily="34" charset="0"/>
          </a:endParaRPr>
        </a:p>
        <a:p>
          <a:r>
            <a:rPr lang="fr-CA" sz="1100" b="1">
              <a:solidFill>
                <a:schemeClr val="dk1"/>
              </a:solidFill>
              <a:effectLst/>
              <a:latin typeface="+mn-lt"/>
              <a:ea typeface="+mn-ea"/>
              <a:cs typeface="+mn-cs"/>
            </a:rPr>
            <a:t>J’ai examiné la demande et les documents justificatifs ci-joints et j’ai personnellement que les copies représentent de façon fidèle et exacte les originaux. Les dépenses et recettes déclarées dans la demande correspondent aux coûts supplémentaires engagés et aux recettes générées par suite d’une catastrophe naturelle. J’ai personnellement vérifié et j’atteste que les coûts estimatifs et les documents justificatifs présentés dans la demande correspondent fidèlement aux coûts futurs estimatifs qui seront engagés par suite d’une catastrophe naturelle.</a:t>
          </a:r>
        </a:p>
        <a:p>
          <a:endParaRPr lang="en-CA" sz="1200">
            <a:effectLst/>
          </a:endParaRPr>
        </a:p>
        <a:p>
          <a:r>
            <a:rPr lang="fr-CA" sz="1100" b="1">
              <a:solidFill>
                <a:schemeClr val="dk1"/>
              </a:solidFill>
              <a:effectLst/>
              <a:latin typeface="+mn-lt"/>
              <a:ea typeface="+mn-ea"/>
              <a:cs typeface="+mn-cs"/>
            </a:rPr>
            <a:t>Je confirme en outre que, à ma connaissance, les dépenses déclarées satisfont aux critères d’admissibilité des Lignes directrices du Programme d’aide aux municipalités pour la reprise après une catastrophe. J’ai reçu l’autorisation du conseil municipal pour présenter cette demande.</a:t>
          </a:r>
          <a:endParaRPr lang="en-CA" sz="1200">
            <a:effectLst/>
          </a:endParaRPr>
        </a:p>
        <a:p>
          <a:pPr algn="l"/>
          <a:endParaRPr lang="en-CA" sz="1200" b="1">
            <a:latin typeface="+mj-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990600</xdr:colOff>
          <xdr:row>11</xdr:row>
          <xdr:rowOff>28575</xdr:rowOff>
        </xdr:from>
        <xdr:to>
          <xdr:col>1</xdr:col>
          <xdr:colOff>1247775</xdr:colOff>
          <xdr:row>13</xdr:row>
          <xdr:rowOff>66675</xdr:rowOff>
        </xdr:to>
        <xdr:sp macro="" textlink="">
          <xdr:nvSpPr>
            <xdr:cNvPr id="10248" name="Check Box 8" hidden="1">
              <a:extLst>
                <a:ext uri="{63B3BB69-23CF-44E3-9099-C40C66FF867C}">
                  <a14:compatExt spid="_x0000_s10248"/>
                </a:ext>
              </a:extLst>
            </xdr:cNvPr>
            <xdr:cNvSpPr/>
          </xdr:nvSpPr>
          <xdr:spPr>
            <a:xfrm>
              <a:off x="0" y="0"/>
              <a:ext cx="0" cy="0"/>
            </a:xfrm>
            <a:prstGeom prst="rect">
              <a:avLst/>
            </a:prstGeom>
          </xdr:spPr>
        </xdr:sp>
        <xdr:clientData/>
      </xdr:twoCellAnchor>
    </mc:Choice>
    <mc:Fallback/>
  </mc:AlternateContent>
  <xdr:twoCellAnchor>
    <xdr:from>
      <xdr:col>2</xdr:col>
      <xdr:colOff>647699</xdr:colOff>
      <xdr:row>23</xdr:row>
      <xdr:rowOff>137584</xdr:rowOff>
    </xdr:from>
    <xdr:to>
      <xdr:col>4</xdr:col>
      <xdr:colOff>228599</xdr:colOff>
      <xdr:row>28</xdr:row>
      <xdr:rowOff>74085</xdr:rowOff>
    </xdr:to>
    <xdr:sp macro="" textlink="">
      <xdr:nvSpPr>
        <xdr:cNvPr id="5" name="TextBox 4"/>
        <xdr:cNvSpPr txBox="1"/>
      </xdr:nvSpPr>
      <xdr:spPr>
        <a:xfrm>
          <a:off x="1960032" y="5693834"/>
          <a:ext cx="5846234" cy="7725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fr-CA" sz="1100">
              <a:solidFill>
                <a:schemeClr val="dk1"/>
              </a:solidFill>
              <a:effectLst/>
              <a:latin typeface="+mn-lt"/>
              <a:ea typeface="+mn-ea"/>
              <a:cs typeface="+mn-cs"/>
            </a:rPr>
            <a:t>Signature manuscrite obligatoire. Une fois signée, numériser l’attestation sous forme électronique (p. ex. PDF) et l’inclure à la demande. Une signature électronique ou dactylographiée ne sera pas acceptée. Vérifier que les formulaires de demande sont présentés en format électronique Excel (non en PDF)</a:t>
          </a:r>
          <a:r>
            <a:rPr lang="en-CA" sz="1100" baseline="0">
              <a:solidFill>
                <a:schemeClr val="dk1"/>
              </a:solidFill>
              <a:effectLst/>
              <a:latin typeface="+mn-lt"/>
              <a:ea typeface="+mn-ea"/>
              <a:cs typeface="+mn-cs"/>
            </a:rPr>
            <a:t>.</a:t>
          </a:r>
          <a:endParaRPr lang="en-CA">
            <a:effectLst/>
          </a:endParaRPr>
        </a:p>
        <a:p>
          <a:pPr algn="l"/>
          <a:endParaRPr lang="en-CA" sz="1100"/>
        </a:p>
      </xdr:txBody>
    </xdr:sp>
    <xdr:clientData/>
  </xdr:twoCellAnchor>
  <xdr:twoCellAnchor editAs="absolute">
    <xdr:from>
      <xdr:col>3</xdr:col>
      <xdr:colOff>2704041</xdr:colOff>
      <xdr:row>0</xdr:row>
      <xdr:rowOff>10583</xdr:rowOff>
    </xdr:from>
    <xdr:to>
      <xdr:col>4</xdr:col>
      <xdr:colOff>26458</xdr:colOff>
      <xdr:row>0</xdr:row>
      <xdr:rowOff>378521</xdr:rowOff>
    </xdr:to>
    <xdr:sp macro="[0]!GoHomeDontClose" textlink="">
      <xdr:nvSpPr>
        <xdr:cNvPr id="6" name="Rounded Rectangle 5"/>
        <xdr:cNvSpPr/>
      </xdr:nvSpPr>
      <xdr:spPr>
        <a:xfrm>
          <a:off x="5414697" y="10583"/>
          <a:ext cx="2477824" cy="367938"/>
        </a:xfrm>
        <a:prstGeom prst="roundRect">
          <a:avLst/>
        </a:prstGeom>
        <a:solidFill>
          <a:schemeClr val="accent1">
            <a:lumMod val="40000"/>
            <a:lumOff val="6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CA" sz="1400" b="1">
              <a:solidFill>
                <a:sysClr val="windowText" lastClr="000000"/>
              </a:solidFill>
              <a:effectLst/>
              <a:latin typeface="+mn-lt"/>
              <a:ea typeface="+mn-ea"/>
              <a:cs typeface="+mn-cs"/>
            </a:rPr>
            <a:t>Retour à la page d'accueil</a:t>
          </a:r>
          <a:endParaRPr lang="en-CA" sz="1400" b="1">
            <a:solidFill>
              <a:sysClr val="windowText" lastClr="000000"/>
            </a:solidFill>
            <a:effectLst/>
          </a:endParaRPr>
        </a:p>
        <a:p>
          <a:pPr algn="ctr"/>
          <a:endParaRPr lang="en-CA" sz="1400" b="1">
            <a:solidFill>
              <a:schemeClr val="tx1"/>
            </a:solidFill>
          </a:endParaRPr>
        </a:p>
      </xdr:txBody>
    </xdr:sp>
    <xdr:clientData/>
  </xdr:twoCellAnchor>
</xdr:wsDr>
</file>

<file path=xl/tables/table1.xml><?xml version="1.0" encoding="utf-8"?>
<table xmlns="http://schemas.openxmlformats.org/spreadsheetml/2006/main" id="23" name="Table7716" displayName="Table7716" ref="C6:K10" totalsRowShown="0" headerRowDxfId="221" dataDxfId="219" headerRowBorderDxfId="220" tableBorderDxfId="218" totalsRowBorderDxfId="217">
  <tableColumns count="9">
    <tableColumn id="5" name="Date de début du travail AAAA/MM/JJ" dataDxfId="216"/>
    <tableColumn id="1" name="Date de fin du travail AAAA/MM/JJ" dataDxfId="215"/>
    <tableColumn id="3" name="Fournisseur des biens ou services" dataDxfId="214"/>
    <tableColumn id="4" name="Description du travail" dataDxfId="213"/>
    <tableColumn id="6" name="Coût admissible (excluant la TVH)" dataDxfId="212" dataCellStyle="Currency"/>
    <tableColumn id="8" name="TVH irrécouvrable calculée à 1,76 % "/>
    <tableColumn id="9" name="TVH irrécouvrable - NON calculée à 1,76 % (entrer manuellement)"/>
    <tableColumn id="2" name="Total : Coût admissible + TVH irrécouvrable" dataDxfId="211" dataCellStyle="Currency"/>
    <tableColumn id="7" name="Numéro de page du document de référence" dataDxfId="210"/>
  </tableColumns>
  <tableStyleInfo name="TableStyleMedium2" showFirstColumn="0" showLastColumn="0" showRowStripes="1" showColumnStripes="0"/>
</table>
</file>

<file path=xl/tables/table2.xml><?xml version="1.0" encoding="utf-8"?>
<table xmlns="http://schemas.openxmlformats.org/spreadsheetml/2006/main" id="24" name="GSOperating" displayName="GSOperating" ref="C11:K26" totalsRowShown="0" headerRowDxfId="209" dataDxfId="207" headerRowBorderDxfId="208" tableBorderDxfId="206" totalsRowBorderDxfId="205">
  <autoFilter ref="C11:K26"/>
  <tableColumns count="9">
    <tableColumn id="5" name="Start" dataDxfId="204"/>
    <tableColumn id="1" name="End" dataDxfId="203"/>
    <tableColumn id="3" name="Goods /Services Supplier" dataDxfId="202"/>
    <tableColumn id="4" name="Description of the work" dataDxfId="201"/>
    <tableColumn id="6" name="Cost(ExclHST)" dataDxfId="200" dataCellStyle="Currency"/>
    <tableColumn id="8" name="Unrecoverable" dataDxfId="199" dataCellStyle="Currency">
      <calculatedColumnFormula>IF(ISBLANK(GSOperating[[#This Row],[UnrecoverableNotCalc]]), GSOperating[[#This Row],[Cost(ExclHST)]]*0.0176, 0)</calculatedColumnFormula>
    </tableColumn>
    <tableColumn id="9" name="UnrecoverableNotCalc" dataDxfId="198" dataCellStyle="Currency"/>
    <tableColumn id="2" name="Total" dataDxfId="197" dataCellStyle="Currency">
      <calculatedColumnFormula>GSOperating[Cost(ExclHST)]+GSOperating[Unrecoverable]+GSOperating[[#This Row],[UnrecoverableNotCalc]]</calculatedColumnFormula>
    </tableColumn>
    <tableColumn id="7" name="Document Reference #(s)/pg #(s)" dataDxfId="196"/>
  </tableColumns>
  <tableStyleInfo name="Table Style 1" showFirstColumn="0" showLastColumn="0" showRowStripes="1" showColumnStripes="0"/>
</table>
</file>

<file path=xl/tables/table3.xml><?xml version="1.0" encoding="utf-8"?>
<table xmlns="http://schemas.openxmlformats.org/spreadsheetml/2006/main" id="25" name="Table7626" displayName="Table7626" ref="C6:K8" totalsRowShown="0" headerRowDxfId="193" dataDxfId="191" headerRowBorderDxfId="192" tableBorderDxfId="190" totalsRowBorderDxfId="189">
  <tableColumns count="9">
    <tableColumn id="2" name="Date de début du travail AAAA/MM/JJ" dataDxfId="188"/>
    <tableColumn id="1" name="Date de fin du travail AAAA/MM/JJ" dataDxfId="187"/>
    <tableColumn id="3" name="Fournisseur des biens ou services" dataDxfId="186"/>
    <tableColumn id="4" name="Description du travail" dataDxfId="185"/>
    <tableColumn id="6" name="Coût admissible (excluant la TVH)" dataDxfId="184" dataCellStyle="Currency"/>
    <tableColumn id="10" name="TVH irrécouvrable calculée à 1,76 % " dataDxfId="183" dataCellStyle="Currency"/>
    <tableColumn id="8" name="TVH irrécouvrable - NON calculée à 1,76 % (entrer manuellement)" dataDxfId="182" dataCellStyle="Currency"/>
    <tableColumn id="5" name="Total : Coût admissible + TVH irrécouvrable" dataDxfId="181" dataCellStyle="Currency"/>
    <tableColumn id="7" name="Numéro de page du document de référence" dataDxfId="180"/>
  </tableColumns>
  <tableStyleInfo name="TableStyleMedium2" showFirstColumn="0" showLastColumn="0" showRowStripes="1" showColumnStripes="0"/>
</table>
</file>

<file path=xl/tables/table4.xml><?xml version="1.0" encoding="utf-8"?>
<table xmlns="http://schemas.openxmlformats.org/spreadsheetml/2006/main" id="26" name="GSCapital" displayName="GSCapital" ref="C9:K24" totalsRowShown="0" headerRowDxfId="179" dataDxfId="177" headerRowBorderDxfId="178" tableBorderDxfId="176" totalsRowBorderDxfId="175">
  <autoFilter ref="C9:K24"/>
  <tableColumns count="9">
    <tableColumn id="2" name="Start" dataDxfId="174"/>
    <tableColumn id="1" name="End" dataDxfId="173"/>
    <tableColumn id="3" name="Goods /Services Supplier" dataDxfId="172"/>
    <tableColumn id="4" name="Description of the work" dataDxfId="171"/>
    <tableColumn id="6" name="Cost(Excl HST)" dataDxfId="170" dataCellStyle="Currency"/>
    <tableColumn id="9" name="Unrecoverable" dataDxfId="169" dataCellStyle="Currency">
      <calculatedColumnFormula>IF(ISBLANK(GSCapital[[#This Row],[UnrecoverableNotCalc]]), GSCapital[[#This Row],[Cost(Excl HST)]]*0.0176, 0)</calculatedColumnFormula>
    </tableColumn>
    <tableColumn id="8" name="UnrecoverableNotCalc" dataDxfId="168" dataCellStyle="Currency"/>
    <tableColumn id="5" name="Total" dataDxfId="167" dataCellStyle="Currency">
      <calculatedColumnFormula>GSCapital[Cost(Excl HST)]+GSCapital[Unrecoverable]+GSCapital[[#This Row],[UnrecoverableNotCalc]]</calculatedColumnFormula>
    </tableColumn>
    <tableColumn id="7" name="Document Reference #(s)/pg #(s)2" dataDxfId="166"/>
  </tableColumns>
  <tableStyleInfo name="Table Style 1" showFirstColumn="0" showLastColumn="0" showRowStripes="1" showColumnStripes="0"/>
</table>
</file>

<file path=xl/tables/table5.xml><?xml version="1.0" encoding="utf-8"?>
<table xmlns="http://schemas.openxmlformats.org/spreadsheetml/2006/main" id="18" name="Table1319" displayName="Table1319" ref="C9:N11" totalsRowShown="0" headerRowDxfId="163" dataDxfId="161" headerRowBorderDxfId="162" tableBorderDxfId="160" totalsRowBorderDxfId="159">
  <tableColumns count="12">
    <tableColumn id="1" name="Nom de l'employé (nom, prénom)" dataDxfId="158"/>
    <tableColumn id="2" name="Type d'employé (P, T, R)" dataDxfId="157"/>
    <tableColumn id="8" name="Date de début du travail AAAA/MM/JJ" dataDxfId="156"/>
    <tableColumn id="3" name="Date de fin du travail AAAA/MM/JJ" dataDxfId="155"/>
    <tableColumn id="6" name="Fonction/travail effectué" dataDxfId="154"/>
    <tableColumn id="9" name="Heures suppl. Travaillées" dataDxfId="153"/>
    <tableColumn id="11" name="Taux des heures suppl." dataDxfId="152" dataCellStyle="Currency"/>
    <tableColumn id="12" name="Salaire total (P)" dataDxfId="151" dataCellStyle="Currency">
      <calculatedColumnFormula>IF(D10="R",Table1319[[#This Row],[Heures suppl. Travaillées]]*Table1319[[#This Row],[Taux des heures suppl.]],"P Only")</calculatedColumnFormula>
    </tableColumn>
    <tableColumn id="4" name="Salaire total (temp. ou rempl.)" dataDxfId="150" dataCellStyle="Currency"/>
    <tableColumn id="15" name="Avantages" dataDxfId="149" dataCellStyle="Currency"/>
    <tableColumn id="16" name="Numéro de page du document de référence" dataDxfId="148"/>
    <tableColumn id="5" name="Coût total" dataDxfId="147">
      <calculatedColumnFormula>IF(Table1319[[#This Row],[Type d''employé (P, T, R)]]="R",SUM(Table1319[[#This Row],[Salaire total (P)]],Table1319[[#This Row],[Avantages]],#REF!),SUM(#REF!))</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9" name="EmplOperating" displayName="EmplOperating" ref="C12:N31" totalsRowShown="0" headerRowDxfId="146" dataDxfId="144" headerRowBorderDxfId="145" tableBorderDxfId="143" totalsRowBorderDxfId="142">
  <tableColumns count="12">
    <tableColumn id="1" name="Employee Name (last name, first name)" dataDxfId="141"/>
    <tableColumn id="2" name="(R), (TE) or (BF)" dataDxfId="140"/>
    <tableColumn id="8" name="Start" dataDxfId="139"/>
    <tableColumn id="3" name="End" dataDxfId="138"/>
    <tableColumn id="6" name="Function" dataDxfId="137"/>
    <tableColumn id="9" name="OT Hours Worked (Regular Only)" dataDxfId="136"/>
    <tableColumn id="11" name="Overtime Hourly Wage (Regular Only)" dataDxfId="135" dataCellStyle="Currency"/>
    <tableColumn id="12" name="Total Wage (Regular Only)" dataDxfId="134" dataCellStyle="Currency">
      <calculatedColumnFormula>IF('4.Personnel - immobilisations'!#REF!="P",EmplOperating[[#This Row],[OT Hours Worked (Regular Only)]]*EmplOperating[[#This Row],[Overtime Hourly Wage (Regular Only)]],"P Only")</calculatedColumnFormula>
    </tableColumn>
    <tableColumn id="4" name="Total Wage (TE or BF)" dataDxfId="133" dataCellStyle="Currency"/>
    <tableColumn id="14" name="Expenses" dataDxfId="132" dataCellStyle="Currency"/>
    <tableColumn id="16" name="Document Reference #(s)/pg #(s)" dataDxfId="131"/>
    <tableColumn id="5" name="Total Cost" dataDxfId="130">
      <calculatedColumnFormula>IF(EmplOperating[[#This Row],[(R), (TE) or (BF)]]="R",SUM(EmplOperating[[#This Row],[Total Wage (Regular Only)]],#REF!,EmplOperating[[#This Row],[Expenses]]),SUM(EmplOperating[[#This Row],[Total Wage (TE or BF)]:[Expenses]]))</calculatedColumnFormula>
    </tableColumn>
  </tableColumns>
  <tableStyleInfo name="Table Style 1" showFirstColumn="0" showLastColumn="0" showRowStripes="1" showColumnStripes="0"/>
</table>
</file>

<file path=xl/tables/table7.xml><?xml version="1.0" encoding="utf-8"?>
<table xmlns="http://schemas.openxmlformats.org/spreadsheetml/2006/main" id="2" name="Table13" displayName="Table13" ref="C10:N13" totalsRowShown="0" headerRowDxfId="127" dataDxfId="125" headerRowBorderDxfId="126" tableBorderDxfId="124" totalsRowBorderDxfId="123">
  <tableColumns count="12">
    <tableColumn id="1" name="Nom de l'employé (nom, prénom)" dataDxfId="122"/>
    <tableColumn id="2" name="Type d'employé (P, T, R)"/>
    <tableColumn id="8" name="Date de début du travail AAAA/MM/JJ" dataDxfId="121"/>
    <tableColumn id="3" name="Date de fin du travail AAAA/MM/JJ" dataDxfId="120"/>
    <tableColumn id="6" name="Fonction/travail effectué" dataDxfId="119"/>
    <tableColumn id="9" name="Heures suppl. Travaillées" dataDxfId="118"/>
    <tableColumn id="11" name="Taux des heures supplémentaires" dataDxfId="117" dataCellStyle="Currency"/>
    <tableColumn id="12" name="Salaire total (P)" dataDxfId="116" dataCellStyle="Currency">
      <calculatedColumnFormula>IF(#REF!="R",Table13[[#This Row],[Heures suppl. Travaillées]]*Table13[[#This Row],[Taux des heures supplémentaires]],"R Only")</calculatedColumnFormula>
    </tableColumn>
    <tableColumn id="4" name="Salaire total (temp. ou rempl.)" dataDxfId="115" dataCellStyle="Currency"/>
    <tableColumn id="13" name="Avantages" dataDxfId="114" dataCellStyle="Currency"/>
    <tableColumn id="16" name="Numéro de page du document de référence" dataDxfId="113"/>
    <tableColumn id="5" name="Coût total" dataDxfId="112">
      <calculatedColumnFormula>IF(Table1319[[#This Row],[Type d''employé (P, T, R)]]="R",SUM(Table13[[#This Row],[Salaire total (P)]],#REF!),SUM(#REF!))</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7" name="ECCapital" displayName="ECCapital" ref="C14:N33" headerRowDxfId="111" dataDxfId="109" headerRowBorderDxfId="110" tableBorderDxfId="108" totalsRowBorderDxfId="107">
  <tableColumns count="12">
    <tableColumn id="1" name="Employee Name (last name, first name)" totalsRowLabel="Total" dataDxfId="106"/>
    <tableColumn id="2" name="(R), (TE) or (BF)" dataDxfId="105"/>
    <tableColumn id="3" name="Date Range" dataDxfId="104"/>
    <tableColumn id="13" name="Column1" dataDxfId="103"/>
    <tableColumn id="6" name="Function" dataDxfId="102"/>
    <tableColumn id="9" name="OT Hours Worked (Full Time Only)" dataDxfId="101"/>
    <tableColumn id="11" name="Overtime Hourly Wage (Full Time Only)" dataDxfId="100" dataCellStyle="Currency"/>
    <tableColumn id="12" name="Total Wage (Full Time Only)" dataDxfId="99" dataCellStyle="Currency">
      <calculatedColumnFormula>IF(D15="R",ECCapital[[#This Row],[OT Hours Worked (Full Time Only)]]*ECCapital[[#This Row],[Overtime Hourly Wage (Full Time Only)]],"P seulment")</calculatedColumnFormula>
    </tableColumn>
    <tableColumn id="4" name="Amount Claimed (Temp or Backfill)" dataDxfId="98" dataCellStyle="Currency"/>
    <tableColumn id="8" name="Benefits" dataDxfId="97" dataCellStyle="Currency"/>
    <tableColumn id="16" name="Document Reference " dataDxfId="96"/>
    <tableColumn id="5" name="Total Cost" totalsRowFunction="sum" dataDxfId="95">
      <calculatedColumnFormula>IF(ECCapital[[#This Row],[(R), (TE) or (BF)]]="R",SUM(ECCapital[[#This Row],[Total Wage (Full Time Only)]],ECCapital[[#This Row],[Benefits]]),SUM(ECCapital[[#This Row],[Amount Claimed (Temp or Backfill)]]))</calculatedColumnFormula>
    </tableColumn>
  </tableColumns>
  <tableStyleInfo name="Table Style 1" showFirstColumn="0" showLastColumn="0" showRowStripes="1" showColumnStripes="0"/>
</table>
</file>

<file path=xl/tables/table9.xml><?xml version="1.0" encoding="utf-8"?>
<table xmlns="http://schemas.openxmlformats.org/spreadsheetml/2006/main" id="4" name="Table35" displayName="Table35" ref="C9:L11" totalsRowShown="0" headerRowDxfId="92" dataDxfId="90" headerRowBorderDxfId="91" tableBorderDxfId="89" totalsRowBorderDxfId="88">
  <tableColumns count="10">
    <tableColumn id="1" name="Date de début du travail AAAA/MM/JJ" dataDxfId="87"/>
    <tableColumn id="14" name="Date de fin du travail AAAA/MM/JJ" dataDxfId="86"/>
    <tableColumn id="2" name="Matériel et activité" dataDxfId="85"/>
    <tableColumn id="3" name="Catégorie" dataDxfId="84"/>
    <tableColumn id="4" name="Marque et numéro de modèle" dataDxfId="83"/>
    <tableColumn id="7" name="Heures d'utilisation" dataDxfId="82"/>
    <tableColumn id="8" name="Tarif de location OPSS 127" dataDxfId="81" dataCellStyle="Percent"/>
    <tableColumn id="10" name="Total (à 40%)" dataDxfId="80" dataCellStyle="Percent"/>
    <tableColumn id="13" name="Numéro de page du document de référence" dataDxfId="79"/>
    <tableColumn id="15" name="Total des coûts" dataDxfId="78"/>
  </tableColumns>
  <tableStyleInfo name="TableStyleMedium2" showFirstColumn="0" showLastColumn="0" showRowStripes="1" showColumnStripes="0"/>
</table>
</file>

<file path=xl/tables/table10.xml><?xml version="1.0" encoding="utf-8"?>
<table xmlns="http://schemas.openxmlformats.org/spreadsheetml/2006/main" id="20" name="EquipOC" displayName="EquipOC" ref="C12:L33" totalsRowShown="0" headerRowDxfId="77" dataDxfId="75" headerRowBorderDxfId="76" tableBorderDxfId="74" totalsRowBorderDxfId="73">
  <autoFilter ref="C12:L33"/>
  <tableColumns count="10">
    <tableColumn id="1" name="Date or Date Range" dataDxfId="72"/>
    <tableColumn id="2" name="Equipment" dataDxfId="71"/>
    <tableColumn id="9" name="Column1" dataDxfId="70"/>
    <tableColumn id="3" name="HP" dataDxfId="69"/>
    <tableColumn id="4" name="Model Number" dataDxfId="68"/>
    <tableColumn id="7" name="Hours Used" dataDxfId="67"/>
    <tableColumn id="8" name="Claimant's Rate" dataDxfId="66" dataCellStyle="Percent"/>
    <tableColumn id="10" name="Total (Option 1)" dataDxfId="65" dataCellStyle="Currency">
      <calculatedColumnFormula>(EquipOC[[#This Row],[Hours Used]]*EquipOC[[#This Row],[Claimant''s Rate]])*0.4</calculatedColumnFormula>
    </tableColumn>
    <tableColumn id="13" name="Document Reference #(s)/pg #(s)" dataDxfId="64"/>
    <tableColumn id="15" name="Total Costs" dataDxfId="63">
      <calculatedColumnFormula>SUM(EquipOC[[#This Row],[Total (Option 1)]])</calculatedColumnFormula>
    </tableColumn>
  </tableColumns>
  <tableStyleInfo name="Table Style 1" showFirstColumn="0" showLastColumn="0" showRowStripes="1" showColumnStripes="0"/>
</table>
</file>

<file path=xl/tables/table11.xml><?xml version="1.0" encoding="utf-8"?>
<table xmlns="http://schemas.openxmlformats.org/spreadsheetml/2006/main" id="1" name="Table35222" displayName="Table35222" ref="C7:L9" totalsRowShown="0" headerRowDxfId="60" dataDxfId="58" headerRowBorderDxfId="59" tableBorderDxfId="57" totalsRowBorderDxfId="56">
  <tableColumns count="10">
    <tableColumn id="5" name="Date de début du travail AAAA/MM/JJ" dataDxfId="55"/>
    <tableColumn id="1" name="Date de fin du travail AAAA/MM/JJ" dataDxfId="54"/>
    <tableColumn id="2" name="Matériel et activité" dataDxfId="53"/>
    <tableColumn id="3" name="Catégorie" dataDxfId="52"/>
    <tableColumn id="4" name="Marque et numéro de modèle" dataDxfId="51"/>
    <tableColumn id="7" name="Heures d'utilisation" dataDxfId="50"/>
    <tableColumn id="8" name="Tarif de location OPSS 127" dataDxfId="49" dataCellStyle="Percent"/>
    <tableColumn id="10" name="Total (à 40%)" dataDxfId="48" dataCellStyle="Percent">
      <calculatedColumnFormula>Table35222[[#This Row],[Heures d''utilisation]]*Table35222[[#This Row],[Tarif de location OPSS 127]]*0.4</calculatedColumnFormula>
    </tableColumn>
    <tableColumn id="13" name="Numéro de page du document de référence" dataDxfId="47"/>
    <tableColumn id="15" name="Total des coûts" dataDxfId="46">
      <calculatedColumnFormula>SUM(Table35222[[#This Row],[Total (à 40%)]],#REF!)</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3" name="EquipCC" displayName="EquipCC" ref="C10:L24" totalsRowShown="0" headerRowDxfId="45" dataDxfId="43" headerRowBorderDxfId="44" tableBorderDxfId="42" totalsRowBorderDxfId="41">
  <tableColumns count="10">
    <tableColumn id="5" name="Column1" dataDxfId="40"/>
    <tableColumn id="1" name="Date or Date Range" dataDxfId="39"/>
    <tableColumn id="2" name="Equipment" dataDxfId="38"/>
    <tableColumn id="3" name="HP" dataDxfId="37"/>
    <tableColumn id="4" name="Model Number" dataDxfId="36"/>
    <tableColumn id="7" name="Hours Used" dataDxfId="35"/>
    <tableColumn id="8" name="Claimant's Rate" dataDxfId="34" dataCellStyle="Percent"/>
    <tableColumn id="10" name="Column2" dataDxfId="33" dataCellStyle="Currency">
      <calculatedColumnFormula>EquipCC[[#This Row],[Hours Used]]*EquipCC[[#This Row],[Claimant''s Rate]]*0.4</calculatedColumnFormula>
    </tableColumn>
    <tableColumn id="13" name="Document Reference #(s)/pg #(s)" dataDxfId="32"/>
    <tableColumn id="15" name="Total Costs" dataDxfId="31">
      <calculatedColumnFormula>SUM(EquipCC[[#This Row],[Column2]])</calculatedColumnFormula>
    </tableColumn>
  </tableColumns>
  <tableStyleInfo name="Table Style 1" showFirstColumn="0" showLastColumn="0" showRowStripes="1" showColumnStripes="0"/>
</table>
</file>

<file path=xl/tables/table13.xml><?xml version="1.0" encoding="utf-8"?>
<table xmlns="http://schemas.openxmlformats.org/spreadsheetml/2006/main" id="27" name="Revenue" displayName="Revenue" ref="B7:G20" headerRowDxfId="28" dataDxfId="26" totalsRowDxfId="24" headerRowBorderDxfId="27" tableBorderDxfId="25" totalsRowBorderDxfId="23">
  <autoFilter ref="B7:G20"/>
  <tableColumns count="6">
    <tableColumn id="1" name="Start" totalsRowLabel="Total" dataDxfId="22"/>
    <tableColumn id="2" name="End" dataDxfId="21"/>
    <tableColumn id="3" name="Source of Revenue" dataDxfId="20"/>
    <tableColumn id="4" name="Description" dataDxfId="19"/>
    <tableColumn id="5" name="Total" dataDxfId="18" totalsRowDxfId="17" dataCellStyle="Percent"/>
    <tableColumn id="6" name="Document Reference #" totalsRowFunction="count" dataDxfId="16" totalsRowDxfId="15"/>
  </tableColumns>
  <tableStyleInfo name="Table Style 1" showFirstColumn="0" showLastColumn="0" showRowStripes="1" showColumnStripes="1"/>
</table>
</file>

<file path=xl/tables/table14.xml><?xml version="1.0" encoding="utf-8"?>
<table xmlns="http://schemas.openxmlformats.org/spreadsheetml/2006/main" id="5" name="EstCost" displayName="EstCost" ref="B7:G32" headerRowDxfId="10" dataDxfId="8" headerRowBorderDxfId="9" tableBorderDxfId="7" totalsRowBorderDxfId="6">
  <autoFilter ref="B7:G32"/>
  <tableColumns count="6">
    <tableColumn id="1" name="Column1" dataDxfId="5"/>
    <tableColumn id="2" name="Column2" dataDxfId="4"/>
    <tableColumn id="3" name="Column3" dataDxfId="3"/>
    <tableColumn id="4" name="Column4" dataDxfId="2"/>
    <tableColumn id="5" name="Column5" totalsRowLabel="Total" dataDxfId="1"/>
    <tableColumn id="6" name="CostEst" totalsRowFunction="sum" dataDxfId="0" dataCellStyle="Currency"/>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40000"/>
            <a:lumOff val="60000"/>
          </a:schemeClr>
        </a:solidFill>
        <a:scene3d>
          <a:camera prst="orthographicFront"/>
          <a:lightRig rig="threePt" dir="t"/>
        </a:scene3d>
        <a:sp3d>
          <a:bevelT/>
        </a:sp3d>
      </a:spPr>
      <a:bodyPr vertOverflow="clip" horzOverflow="clip" rtlCol="0" anchor="t"/>
      <a:lstStyle>
        <a:defPPr marL="0" marR="0" indent="0" algn="ctr" defTabSz="914400" eaLnBrk="1" fontAlgn="auto" latinLnBrk="0" hangingPunct="1">
          <a:lnSpc>
            <a:spcPct val="100000"/>
          </a:lnSpc>
          <a:spcBef>
            <a:spcPts val="0"/>
          </a:spcBef>
          <a:spcAft>
            <a:spcPts val="0"/>
          </a:spcAft>
          <a:buClrTx/>
          <a:buSzTx/>
          <a:buFontTx/>
          <a:buNone/>
          <a:tabLst/>
          <a:defRPr sz="1400" b="1">
            <a:solidFill>
              <a:sysClr val="windowText" lastClr="000000"/>
            </a:solidFill>
            <a:effectLst/>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1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xml"/><Relationship Id="rId4"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pageSetUpPr fitToPage="1"/>
  </sheetPr>
  <dimension ref="B2:AO42"/>
  <sheetViews>
    <sheetView showGridLines="0" showRowColHeaders="0" tabSelected="1" showRuler="0" view="pageLayout" zoomScale="80" zoomScaleNormal="85" zoomScalePageLayoutView="80" workbookViewId="0">
      <selection activeCell="F5" sqref="F5:R5"/>
    </sheetView>
  </sheetViews>
  <sheetFormatPr defaultRowHeight="14.25" x14ac:dyDescent="0.2"/>
  <cols>
    <col min="1" max="1" width="3.625" style="11" customWidth="1"/>
    <col min="2" max="3" width="3.875" style="11" customWidth="1"/>
    <col min="4" max="4" width="7" style="11" customWidth="1"/>
    <col min="5" max="5" width="11.625" style="11" customWidth="1"/>
    <col min="6" max="33" width="3.875" style="11" customWidth="1"/>
    <col min="34" max="34" width="1.5" style="11" customWidth="1"/>
    <col min="35" max="36" width="3.875" style="11" customWidth="1"/>
    <col min="37" max="37" width="5.125" style="11" customWidth="1"/>
    <col min="38" max="38" width="10.625" style="11" customWidth="1"/>
    <col min="39" max="42" width="9" style="11"/>
    <col min="43" max="257" width="8" style="11"/>
    <col min="258" max="293" width="3.625" style="11" customWidth="1"/>
    <col min="294" max="513" width="8" style="11"/>
    <col min="514" max="549" width="3.625" style="11" customWidth="1"/>
    <col min="550" max="769" width="8" style="11"/>
    <col min="770" max="805" width="3.625" style="11" customWidth="1"/>
    <col min="806" max="1025" width="9" style="11"/>
    <col min="1026" max="1061" width="3.625" style="11" customWidth="1"/>
    <col min="1062" max="1281" width="8" style="11"/>
    <col min="1282" max="1317" width="3.625" style="11" customWidth="1"/>
    <col min="1318" max="1537" width="8" style="11"/>
    <col min="1538" max="1573" width="3.625" style="11" customWidth="1"/>
    <col min="1574" max="1793" width="8" style="11"/>
    <col min="1794" max="1829" width="3.625" style="11" customWidth="1"/>
    <col min="1830" max="2049" width="9" style="11"/>
    <col min="2050" max="2085" width="3.625" style="11" customWidth="1"/>
    <col min="2086" max="2305" width="8" style="11"/>
    <col min="2306" max="2341" width="3.625" style="11" customWidth="1"/>
    <col min="2342" max="2561" width="8" style="11"/>
    <col min="2562" max="2597" width="3.625" style="11" customWidth="1"/>
    <col min="2598" max="2817" width="8" style="11"/>
    <col min="2818" max="2853" width="3.625" style="11" customWidth="1"/>
    <col min="2854" max="3073" width="9" style="11"/>
    <col min="3074" max="3109" width="3.625" style="11" customWidth="1"/>
    <col min="3110" max="3329" width="8" style="11"/>
    <col min="3330" max="3365" width="3.625" style="11" customWidth="1"/>
    <col min="3366" max="3585" width="8" style="11"/>
    <col min="3586" max="3621" width="3.625" style="11" customWidth="1"/>
    <col min="3622" max="3841" width="8" style="11"/>
    <col min="3842" max="3877" width="3.625" style="11" customWidth="1"/>
    <col min="3878" max="4097" width="9" style="11"/>
    <col min="4098" max="4133" width="3.625" style="11" customWidth="1"/>
    <col min="4134" max="4353" width="8" style="11"/>
    <col min="4354" max="4389" width="3.625" style="11" customWidth="1"/>
    <col min="4390" max="4609" width="8" style="11"/>
    <col min="4610" max="4645" width="3.625" style="11" customWidth="1"/>
    <col min="4646" max="4865" width="8" style="11"/>
    <col min="4866" max="4901" width="3.625" style="11" customWidth="1"/>
    <col min="4902" max="5121" width="9" style="11"/>
    <col min="5122" max="5157" width="3.625" style="11" customWidth="1"/>
    <col min="5158" max="5377" width="8" style="11"/>
    <col min="5378" max="5413" width="3.625" style="11" customWidth="1"/>
    <col min="5414" max="5633" width="8" style="11"/>
    <col min="5634" max="5669" width="3.625" style="11" customWidth="1"/>
    <col min="5670" max="5889" width="8" style="11"/>
    <col min="5890" max="5925" width="3.625" style="11" customWidth="1"/>
    <col min="5926" max="6145" width="9" style="11"/>
    <col min="6146" max="6181" width="3.625" style="11" customWidth="1"/>
    <col min="6182" max="6401" width="8" style="11"/>
    <col min="6402" max="6437" width="3.625" style="11" customWidth="1"/>
    <col min="6438" max="6657" width="8" style="11"/>
    <col min="6658" max="6693" width="3.625" style="11" customWidth="1"/>
    <col min="6694" max="6913" width="8" style="11"/>
    <col min="6914" max="6949" width="3.625" style="11" customWidth="1"/>
    <col min="6950" max="7169" width="9" style="11"/>
    <col min="7170" max="7205" width="3.625" style="11" customWidth="1"/>
    <col min="7206" max="7425" width="8" style="11"/>
    <col min="7426" max="7461" width="3.625" style="11" customWidth="1"/>
    <col min="7462" max="7681" width="8" style="11"/>
    <col min="7682" max="7717" width="3.625" style="11" customWidth="1"/>
    <col min="7718" max="7937" width="8" style="11"/>
    <col min="7938" max="7973" width="3.625" style="11" customWidth="1"/>
    <col min="7974" max="8193" width="9" style="11"/>
    <col min="8194" max="8229" width="3.625" style="11" customWidth="1"/>
    <col min="8230" max="8449" width="8" style="11"/>
    <col min="8450" max="8485" width="3.625" style="11" customWidth="1"/>
    <col min="8486" max="8705" width="8" style="11"/>
    <col min="8706" max="8741" width="3.625" style="11" customWidth="1"/>
    <col min="8742" max="8961" width="8" style="11"/>
    <col min="8962" max="8997" width="3.625" style="11" customWidth="1"/>
    <col min="8998" max="9217" width="9" style="11"/>
    <col min="9218" max="9253" width="3.625" style="11" customWidth="1"/>
    <col min="9254" max="9473" width="8" style="11"/>
    <col min="9474" max="9509" width="3.625" style="11" customWidth="1"/>
    <col min="9510" max="9729" width="8" style="11"/>
    <col min="9730" max="9765" width="3.625" style="11" customWidth="1"/>
    <col min="9766" max="9985" width="8" style="11"/>
    <col min="9986" max="10021" width="3.625" style="11" customWidth="1"/>
    <col min="10022" max="10241" width="9" style="11"/>
    <col min="10242" max="10277" width="3.625" style="11" customWidth="1"/>
    <col min="10278" max="10497" width="8" style="11"/>
    <col min="10498" max="10533" width="3.625" style="11" customWidth="1"/>
    <col min="10534" max="10753" width="8" style="11"/>
    <col min="10754" max="10789" width="3.625" style="11" customWidth="1"/>
    <col min="10790" max="11009" width="8" style="11"/>
    <col min="11010" max="11045" width="3.625" style="11" customWidth="1"/>
    <col min="11046" max="11265" width="9" style="11"/>
    <col min="11266" max="11301" width="3.625" style="11" customWidth="1"/>
    <col min="11302" max="11521" width="8" style="11"/>
    <col min="11522" max="11557" width="3.625" style="11" customWidth="1"/>
    <col min="11558" max="11777" width="8" style="11"/>
    <col min="11778" max="11813" width="3.625" style="11" customWidth="1"/>
    <col min="11814" max="12033" width="8" style="11"/>
    <col min="12034" max="12069" width="3.625" style="11" customWidth="1"/>
    <col min="12070" max="12289" width="9" style="11"/>
    <col min="12290" max="12325" width="3.625" style="11" customWidth="1"/>
    <col min="12326" max="12545" width="8" style="11"/>
    <col min="12546" max="12581" width="3.625" style="11" customWidth="1"/>
    <col min="12582" max="12801" width="8" style="11"/>
    <col min="12802" max="12837" width="3.625" style="11" customWidth="1"/>
    <col min="12838" max="13057" width="8" style="11"/>
    <col min="13058" max="13093" width="3.625" style="11" customWidth="1"/>
    <col min="13094" max="13313" width="9" style="11"/>
    <col min="13314" max="13349" width="3.625" style="11" customWidth="1"/>
    <col min="13350" max="13569" width="8" style="11"/>
    <col min="13570" max="13605" width="3.625" style="11" customWidth="1"/>
    <col min="13606" max="13825" width="8" style="11"/>
    <col min="13826" max="13861" width="3.625" style="11" customWidth="1"/>
    <col min="13862" max="14081" width="8" style="11"/>
    <col min="14082" max="14117" width="3.625" style="11" customWidth="1"/>
    <col min="14118" max="14337" width="9" style="11"/>
    <col min="14338" max="14373" width="3.625" style="11" customWidth="1"/>
    <col min="14374" max="14593" width="8" style="11"/>
    <col min="14594" max="14629" width="3.625" style="11" customWidth="1"/>
    <col min="14630" max="14849" width="8" style="11"/>
    <col min="14850" max="14885" width="3.625" style="11" customWidth="1"/>
    <col min="14886" max="15105" width="8" style="11"/>
    <col min="15106" max="15141" width="3.625" style="11" customWidth="1"/>
    <col min="15142" max="15361" width="9" style="11"/>
    <col min="15362" max="15397" width="3.625" style="11" customWidth="1"/>
    <col min="15398" max="15617" width="8" style="11"/>
    <col min="15618" max="15653" width="3.625" style="11" customWidth="1"/>
    <col min="15654" max="15873" width="8" style="11"/>
    <col min="15874" max="15909" width="3.625" style="11" customWidth="1"/>
    <col min="15910" max="16129" width="8" style="11"/>
    <col min="16130" max="16165" width="3.625" style="11" customWidth="1"/>
    <col min="16166" max="16384" width="9" style="11"/>
  </cols>
  <sheetData>
    <row r="2" spans="2:41" ht="49.5" customHeight="1" x14ac:dyDescent="0.2">
      <c r="C2" s="409" t="s">
        <v>67</v>
      </c>
      <c r="D2" s="409"/>
      <c r="E2" s="409"/>
      <c r="F2" s="409"/>
      <c r="G2" s="409"/>
      <c r="H2" s="409"/>
      <c r="I2" s="409"/>
      <c r="J2" s="409"/>
      <c r="K2" s="409"/>
      <c r="L2" s="409"/>
      <c r="M2" s="409"/>
      <c r="N2" s="409"/>
      <c r="O2" s="409"/>
      <c r="P2" s="409"/>
      <c r="Q2" s="409"/>
      <c r="R2" s="409"/>
      <c r="S2" s="409"/>
      <c r="T2" s="409"/>
      <c r="U2" s="409"/>
      <c r="V2" s="409"/>
      <c r="W2" s="409"/>
      <c r="X2" s="409"/>
      <c r="Y2" s="409"/>
      <c r="Z2" s="409"/>
      <c r="AA2" s="409"/>
      <c r="AB2" s="409"/>
      <c r="AC2" s="409"/>
      <c r="AD2" s="409"/>
      <c r="AE2" s="409"/>
      <c r="AF2" s="409"/>
      <c r="AG2" s="409"/>
      <c r="AH2" s="409"/>
      <c r="AI2" s="409"/>
      <c r="AJ2" s="409"/>
      <c r="AK2" s="409"/>
      <c r="AL2" s="409"/>
      <c r="AM2" s="409"/>
      <c r="AN2" s="409"/>
      <c r="AO2" s="409"/>
    </row>
    <row r="3" spans="2:41" ht="19.5" customHeight="1" x14ac:dyDescent="0.2"/>
    <row r="4" spans="2:41" x14ac:dyDescent="0.2">
      <c r="AO4" s="20"/>
    </row>
    <row r="5" spans="2:41" ht="15.75" x14ac:dyDescent="0.25">
      <c r="B5" s="408" t="s">
        <v>68</v>
      </c>
      <c r="C5" s="408"/>
      <c r="D5" s="408"/>
      <c r="E5" s="408"/>
      <c r="F5" s="405" t="s">
        <v>69</v>
      </c>
      <c r="G5" s="406"/>
      <c r="H5" s="406"/>
      <c r="I5" s="406"/>
      <c r="J5" s="406"/>
      <c r="K5" s="406"/>
      <c r="L5" s="406"/>
      <c r="M5" s="406"/>
      <c r="N5" s="406"/>
      <c r="O5" s="406"/>
      <c r="P5" s="406"/>
      <c r="Q5" s="406"/>
      <c r="R5" s="406"/>
      <c r="S5" s="128"/>
      <c r="T5" s="128"/>
      <c r="U5" s="128"/>
      <c r="V5" s="14"/>
      <c r="X5" s="129"/>
      <c r="Y5" s="129"/>
      <c r="Z5" s="20"/>
      <c r="AA5" s="411" t="s">
        <v>79</v>
      </c>
      <c r="AB5" s="412"/>
      <c r="AC5" s="412"/>
      <c r="AD5" s="412"/>
      <c r="AE5" s="412"/>
      <c r="AF5" s="412"/>
      <c r="AG5" s="412"/>
      <c r="AH5" s="412"/>
      <c r="AI5" s="412"/>
      <c r="AJ5" s="412"/>
      <c r="AK5" s="412"/>
      <c r="AL5" s="412"/>
      <c r="AM5" s="20"/>
      <c r="AN5" s="20"/>
      <c r="AO5" s="20"/>
    </row>
    <row r="6" spans="2:41" ht="15.75" x14ac:dyDescent="0.25">
      <c r="F6" s="10" t="s">
        <v>70</v>
      </c>
      <c r="G6" s="1"/>
      <c r="H6" s="1"/>
      <c r="I6" s="1"/>
      <c r="J6" s="1"/>
      <c r="K6" s="1"/>
      <c r="L6" s="1"/>
      <c r="M6" s="1"/>
      <c r="N6" s="1"/>
      <c r="O6" s="1"/>
      <c r="P6" s="1"/>
      <c r="Q6" s="1"/>
      <c r="R6" s="1"/>
      <c r="S6" s="1"/>
      <c r="T6" s="1"/>
      <c r="U6" s="289" t="s">
        <v>80</v>
      </c>
      <c r="V6" s="289"/>
      <c r="W6" s="160"/>
      <c r="AA6" s="413"/>
      <c r="AB6" s="413"/>
      <c r="AC6" s="413"/>
      <c r="AD6" s="413"/>
      <c r="AE6" s="413"/>
      <c r="AF6" s="413"/>
      <c r="AG6" s="413"/>
      <c r="AH6" s="413"/>
      <c r="AI6" s="413"/>
      <c r="AJ6" s="413"/>
      <c r="AK6" s="413"/>
      <c r="AL6" s="413"/>
      <c r="AM6" s="20"/>
      <c r="AN6" s="20"/>
      <c r="AO6" s="20"/>
    </row>
    <row r="7" spans="2:41" ht="15.75" customHeight="1" x14ac:dyDescent="0.2">
      <c r="F7" s="10"/>
      <c r="G7" s="1"/>
      <c r="H7" s="1"/>
      <c r="I7" s="1"/>
      <c r="J7" s="1"/>
      <c r="K7" s="1"/>
      <c r="L7" s="1"/>
      <c r="M7" s="1"/>
      <c r="N7" s="1"/>
      <c r="O7" s="1"/>
      <c r="P7" s="1"/>
      <c r="Q7" s="1"/>
      <c r="R7" s="1"/>
      <c r="S7" s="1"/>
      <c r="T7" s="1"/>
      <c r="AA7" s="313"/>
      <c r="AB7" s="313"/>
      <c r="AC7" s="313"/>
      <c r="AD7" s="313"/>
      <c r="AE7" s="313"/>
      <c r="AF7" s="313"/>
      <c r="AG7" s="313"/>
      <c r="AH7" s="313"/>
      <c r="AI7" s="313"/>
      <c r="AJ7" s="313"/>
      <c r="AK7" s="313"/>
      <c r="AL7" s="313"/>
      <c r="AM7" s="20"/>
      <c r="AN7" s="20"/>
      <c r="AO7" s="20"/>
    </row>
    <row r="8" spans="2:41" ht="15.75" customHeight="1" x14ac:dyDescent="0.25">
      <c r="B8" s="410" t="s">
        <v>71</v>
      </c>
      <c r="C8" s="410"/>
      <c r="D8" s="410"/>
      <c r="F8" s="407" t="s">
        <v>72</v>
      </c>
      <c r="G8" s="398"/>
      <c r="H8" s="398"/>
      <c r="I8" s="398"/>
      <c r="J8" s="398"/>
      <c r="K8" s="398"/>
      <c r="L8" s="398"/>
      <c r="M8" s="398"/>
      <c r="N8" s="398"/>
      <c r="O8" s="398"/>
      <c r="P8" s="398"/>
      <c r="Q8" s="398"/>
      <c r="R8" s="398"/>
      <c r="U8" s="289" t="s">
        <v>81</v>
      </c>
      <c r="V8" s="289"/>
      <c r="AA8" s="413"/>
      <c r="AB8" s="413"/>
      <c r="AC8" s="413"/>
      <c r="AD8" s="413"/>
      <c r="AE8" s="413"/>
      <c r="AF8" s="413"/>
      <c r="AG8" s="413"/>
      <c r="AH8" s="413"/>
      <c r="AI8" s="413"/>
      <c r="AJ8" s="413"/>
      <c r="AK8" s="413"/>
      <c r="AL8" s="413"/>
      <c r="AM8" s="20"/>
      <c r="AN8" s="20"/>
      <c r="AO8" s="20"/>
    </row>
    <row r="9" spans="2:41" ht="15.75" x14ac:dyDescent="0.25">
      <c r="B9" s="304"/>
      <c r="C9" s="304"/>
      <c r="D9" s="304"/>
      <c r="F9" s="315"/>
      <c r="G9" s="316"/>
      <c r="H9" s="316"/>
      <c r="I9" s="316"/>
      <c r="J9" s="316"/>
      <c r="K9" s="316"/>
      <c r="L9" s="316"/>
      <c r="M9" s="316"/>
      <c r="N9" s="316"/>
      <c r="O9" s="316"/>
      <c r="P9" s="316"/>
      <c r="Q9" s="316"/>
      <c r="R9" s="316"/>
      <c r="AA9" s="314"/>
      <c r="AB9" s="314"/>
      <c r="AC9" s="314"/>
      <c r="AD9" s="314"/>
      <c r="AE9" s="314"/>
      <c r="AF9" s="314"/>
      <c r="AG9" s="314"/>
      <c r="AH9" s="314"/>
      <c r="AI9" s="314"/>
      <c r="AJ9" s="314"/>
      <c r="AK9" s="314"/>
      <c r="AL9" s="314"/>
      <c r="AM9" s="20"/>
      <c r="AN9" s="20"/>
      <c r="AO9" s="20"/>
    </row>
    <row r="10" spans="2:41" ht="15.75" customHeight="1" x14ac:dyDescent="0.25">
      <c r="B10" s="410"/>
      <c r="C10" s="410"/>
      <c r="D10" s="410"/>
      <c r="E10" s="410"/>
      <c r="F10" s="317"/>
      <c r="G10" s="317"/>
      <c r="H10" s="317"/>
      <c r="I10" s="317"/>
      <c r="J10" s="317"/>
      <c r="K10" s="317"/>
      <c r="L10" s="317"/>
      <c r="M10" s="317"/>
      <c r="N10" s="317"/>
      <c r="O10" s="317"/>
      <c r="P10" s="317"/>
      <c r="Q10" s="317"/>
      <c r="R10" s="317"/>
      <c r="U10" s="289" t="s">
        <v>82</v>
      </c>
      <c r="V10" s="289"/>
      <c r="AA10" s="413"/>
      <c r="AB10" s="413"/>
      <c r="AC10" s="413"/>
      <c r="AD10" s="413"/>
      <c r="AE10" s="413"/>
      <c r="AF10" s="413"/>
      <c r="AG10" s="413"/>
      <c r="AH10" s="413"/>
      <c r="AI10" s="413"/>
      <c r="AJ10" s="413"/>
      <c r="AK10" s="413"/>
      <c r="AL10" s="413"/>
      <c r="AM10" s="20"/>
      <c r="AN10" s="20"/>
      <c r="AO10" s="20"/>
    </row>
    <row r="11" spans="2:41" ht="15.75" x14ac:dyDescent="0.25">
      <c r="B11" s="289" t="s">
        <v>73</v>
      </c>
      <c r="D11" s="385"/>
      <c r="F11" s="398"/>
      <c r="G11" s="398"/>
      <c r="H11" s="398"/>
      <c r="I11" s="398"/>
      <c r="J11" s="398"/>
      <c r="K11" s="398"/>
      <c r="L11" s="398"/>
      <c r="M11" s="398"/>
      <c r="N11" s="398"/>
      <c r="O11" s="398"/>
      <c r="P11" s="398"/>
      <c r="Q11" s="398"/>
      <c r="R11" s="398"/>
      <c r="AA11" s="414"/>
      <c r="AB11" s="414"/>
      <c r="AC11" s="414"/>
      <c r="AD11" s="414"/>
      <c r="AE11" s="414"/>
      <c r="AF11" s="414"/>
      <c r="AG11" s="414"/>
      <c r="AH11" s="414"/>
      <c r="AI11" s="414"/>
      <c r="AJ11" s="414"/>
      <c r="AK11" s="414"/>
      <c r="AL11" s="414"/>
      <c r="AM11" s="20"/>
      <c r="AN11" s="20"/>
      <c r="AO11" s="20"/>
    </row>
    <row r="12" spans="2:41" ht="15.75" x14ac:dyDescent="0.2">
      <c r="F12" s="10" t="s">
        <v>74</v>
      </c>
      <c r="S12" s="13"/>
      <c r="T12" s="13"/>
      <c r="U12" s="155" t="s">
        <v>83</v>
      </c>
      <c r="V12" s="155"/>
      <c r="W12" s="155"/>
      <c r="X12" s="154"/>
      <c r="Y12" s="154"/>
      <c r="AA12" s="415"/>
      <c r="AB12" s="415"/>
      <c r="AC12" s="415"/>
      <c r="AD12" s="415"/>
      <c r="AE12" s="415"/>
      <c r="AF12" s="415"/>
      <c r="AG12" s="415"/>
      <c r="AH12" s="415"/>
      <c r="AI12" s="415"/>
      <c r="AJ12" s="415"/>
      <c r="AK12" s="415"/>
      <c r="AL12" s="415"/>
      <c r="AM12" s="20"/>
      <c r="AN12" s="20"/>
      <c r="AO12" s="20"/>
    </row>
    <row r="13" spans="2:41" ht="15" x14ac:dyDescent="0.2">
      <c r="F13" s="302"/>
      <c r="G13" s="302"/>
      <c r="H13" s="302"/>
      <c r="I13" s="302"/>
      <c r="J13" s="302"/>
      <c r="K13" s="302"/>
      <c r="L13" s="302"/>
      <c r="M13" s="302"/>
      <c r="N13" s="302"/>
      <c r="O13" s="302"/>
      <c r="P13" s="302"/>
      <c r="Q13" s="302"/>
      <c r="R13" s="302"/>
      <c r="S13" s="13"/>
      <c r="T13" s="13"/>
      <c r="U13" s="13"/>
      <c r="V13" s="13"/>
      <c r="W13" s="13"/>
      <c r="X13" s="13"/>
      <c r="Y13" s="13"/>
      <c r="AA13" s="11" t="s">
        <v>84</v>
      </c>
      <c r="AB13" s="20"/>
      <c r="AC13" s="20"/>
      <c r="AD13" s="20"/>
      <c r="AE13" s="20"/>
      <c r="AF13" s="20"/>
      <c r="AG13" s="20"/>
      <c r="AH13" s="20"/>
      <c r="AI13" s="20"/>
      <c r="AJ13" s="20"/>
      <c r="AK13" s="20"/>
      <c r="AL13" s="20"/>
      <c r="AM13" s="20"/>
      <c r="AN13" s="20"/>
      <c r="AO13" s="20"/>
    </row>
    <row r="14" spans="2:41" ht="15.75" x14ac:dyDescent="0.25">
      <c r="F14" s="398"/>
      <c r="G14" s="398"/>
      <c r="H14" s="398"/>
      <c r="I14" s="398"/>
      <c r="J14" s="398"/>
      <c r="K14" s="398"/>
      <c r="L14" s="398"/>
      <c r="M14" s="398"/>
      <c r="N14" s="398"/>
      <c r="O14" s="398"/>
      <c r="P14" s="398"/>
      <c r="Q14" s="398"/>
      <c r="R14" s="398"/>
      <c r="S14" s="13"/>
      <c r="T14" s="13"/>
      <c r="U14" s="13"/>
      <c r="V14" s="14"/>
      <c r="W14" s="13"/>
      <c r="X14" s="154"/>
      <c r="Y14" s="13"/>
      <c r="AA14" s="419"/>
      <c r="AB14" s="419"/>
      <c r="AC14" s="419"/>
      <c r="AD14" s="419"/>
      <c r="AE14" s="419"/>
      <c r="AF14" s="419"/>
      <c r="AG14" s="419"/>
      <c r="AH14" s="419"/>
      <c r="AI14" s="419"/>
      <c r="AJ14" s="419"/>
      <c r="AK14" s="419"/>
      <c r="AL14" s="419"/>
      <c r="AM14" s="21"/>
      <c r="AN14" s="21"/>
      <c r="AO14" s="20"/>
    </row>
    <row r="15" spans="2:41" ht="15" customHeight="1" thickBot="1" x14ac:dyDescent="0.25">
      <c r="F15" s="10" t="s">
        <v>75</v>
      </c>
      <c r="S15" s="302"/>
      <c r="T15" s="302"/>
      <c r="U15" s="302"/>
      <c r="V15" s="302"/>
      <c r="W15" s="302"/>
      <c r="X15" s="13"/>
      <c r="Y15" s="13"/>
      <c r="AA15" s="12"/>
      <c r="AB15" s="13"/>
      <c r="AC15" s="13"/>
      <c r="AD15" s="13"/>
      <c r="AE15" s="13"/>
      <c r="AF15" s="20"/>
      <c r="AG15" s="20"/>
      <c r="AH15" s="20"/>
      <c r="AI15" s="19"/>
      <c r="AJ15" s="20"/>
      <c r="AK15" s="20"/>
      <c r="AL15" s="20"/>
      <c r="AM15" s="20"/>
      <c r="AN15" s="20"/>
      <c r="AO15" s="20"/>
    </row>
    <row r="16" spans="2:41" ht="18" x14ac:dyDescent="0.2">
      <c r="U16" s="402" t="s">
        <v>85</v>
      </c>
      <c r="V16" s="403"/>
      <c r="W16" s="403"/>
      <c r="X16" s="403"/>
      <c r="Y16" s="403"/>
      <c r="Z16" s="403"/>
      <c r="AA16" s="403"/>
      <c r="AB16" s="403"/>
      <c r="AC16" s="403"/>
      <c r="AD16" s="403"/>
      <c r="AE16" s="403"/>
      <c r="AF16" s="403"/>
      <c r="AG16" s="403"/>
      <c r="AH16" s="403"/>
      <c r="AI16" s="403"/>
      <c r="AJ16" s="403"/>
      <c r="AK16" s="403"/>
      <c r="AL16" s="404"/>
      <c r="AM16" s="20"/>
      <c r="AN16" s="20"/>
    </row>
    <row r="17" spans="2:41" ht="18" x14ac:dyDescent="0.2">
      <c r="F17" s="398"/>
      <c r="G17" s="398"/>
      <c r="H17" s="398"/>
      <c r="I17" s="398"/>
      <c r="J17" s="398"/>
      <c r="K17" s="398"/>
      <c r="L17" s="398"/>
      <c r="M17" s="398"/>
      <c r="N17" s="398"/>
      <c r="O17" s="398"/>
      <c r="P17" s="398"/>
      <c r="Q17" s="398"/>
      <c r="R17" s="398"/>
      <c r="U17" s="416" t="s">
        <v>86</v>
      </c>
      <c r="V17" s="417"/>
      <c r="W17" s="417"/>
      <c r="X17" s="417"/>
      <c r="Y17" s="417"/>
      <c r="Z17" s="417"/>
      <c r="AA17" s="417"/>
      <c r="AB17" s="417"/>
      <c r="AC17" s="417"/>
      <c r="AD17" s="417"/>
      <c r="AE17" s="417"/>
      <c r="AF17" s="417"/>
      <c r="AG17" s="417"/>
      <c r="AH17" s="417"/>
      <c r="AI17" s="417"/>
      <c r="AJ17" s="417"/>
      <c r="AK17" s="417"/>
      <c r="AL17" s="418"/>
    </row>
    <row r="18" spans="2:41" ht="15" x14ac:dyDescent="0.2">
      <c r="F18" s="10" t="s">
        <v>76</v>
      </c>
      <c r="U18" s="420"/>
      <c r="V18" s="421"/>
      <c r="W18" s="421"/>
      <c r="X18" s="421"/>
      <c r="Y18" s="421"/>
      <c r="Z18" s="421"/>
      <c r="AA18" s="421"/>
      <c r="AB18" s="421"/>
      <c r="AC18" s="421"/>
      <c r="AD18" s="421"/>
      <c r="AE18" s="421"/>
      <c r="AF18" s="421"/>
      <c r="AG18" s="421"/>
      <c r="AH18" s="421"/>
      <c r="AI18" s="421"/>
      <c r="AJ18" s="421"/>
      <c r="AK18" s="421"/>
      <c r="AL18" s="422"/>
      <c r="AO18" s="1"/>
    </row>
    <row r="19" spans="2:41" ht="15.75" x14ac:dyDescent="0.2">
      <c r="U19" s="423"/>
      <c r="V19" s="400"/>
      <c r="W19" s="400"/>
      <c r="X19" s="400"/>
      <c r="Y19" s="400"/>
      <c r="Z19" s="400"/>
      <c r="AA19" s="400"/>
      <c r="AB19" s="400"/>
      <c r="AC19" s="400"/>
      <c r="AD19" s="400"/>
      <c r="AE19" s="400"/>
      <c r="AF19" s="400"/>
      <c r="AG19" s="400"/>
      <c r="AH19" s="400"/>
      <c r="AI19" s="400"/>
      <c r="AJ19" s="400"/>
      <c r="AK19" s="400"/>
      <c r="AL19" s="401"/>
      <c r="AM19" s="1"/>
      <c r="AN19" s="1"/>
    </row>
    <row r="20" spans="2:41" ht="15" customHeight="1" x14ac:dyDescent="0.2">
      <c r="F20" s="398"/>
      <c r="G20" s="398"/>
      <c r="H20" s="398"/>
      <c r="I20" s="398"/>
      <c r="J20" s="398"/>
      <c r="K20" s="398"/>
      <c r="L20" s="398"/>
      <c r="M20" s="398"/>
      <c r="N20" s="398"/>
      <c r="O20" s="398"/>
      <c r="P20" s="398"/>
      <c r="Q20" s="398"/>
      <c r="R20" s="398"/>
      <c r="U20" s="399"/>
      <c r="V20" s="400"/>
      <c r="W20" s="400"/>
      <c r="X20" s="400"/>
      <c r="Y20" s="400"/>
      <c r="Z20" s="400"/>
      <c r="AA20" s="400"/>
      <c r="AB20" s="400"/>
      <c r="AC20" s="400"/>
      <c r="AD20" s="400"/>
      <c r="AE20" s="400"/>
      <c r="AF20" s="400"/>
      <c r="AG20" s="400"/>
      <c r="AH20" s="400"/>
      <c r="AI20" s="400"/>
      <c r="AJ20" s="400"/>
      <c r="AK20" s="400"/>
      <c r="AL20" s="401"/>
    </row>
    <row r="21" spans="2:41" ht="18" customHeight="1" x14ac:dyDescent="0.2">
      <c r="F21" s="10" t="s">
        <v>74</v>
      </c>
      <c r="U21" s="330"/>
      <c r="V21" s="331"/>
      <c r="W21" s="331"/>
      <c r="X21" s="331"/>
      <c r="Y21" s="331"/>
      <c r="Z21" s="331"/>
      <c r="AA21" s="331"/>
      <c r="AB21" s="331"/>
      <c r="AC21" s="331"/>
      <c r="AD21" s="331"/>
      <c r="AE21" s="331"/>
      <c r="AF21" s="331"/>
      <c r="AG21" s="331"/>
      <c r="AH21" s="331"/>
      <c r="AI21" s="331"/>
      <c r="AJ21" s="331"/>
      <c r="AK21" s="331"/>
      <c r="AL21" s="332"/>
    </row>
    <row r="22" spans="2:41" ht="18" customHeight="1" x14ac:dyDescent="0.25">
      <c r="B22" s="408" t="s">
        <v>78</v>
      </c>
      <c r="C22" s="408"/>
      <c r="D22" s="408"/>
      <c r="E22" s="408"/>
      <c r="U22" s="330"/>
      <c r="V22" s="331"/>
      <c r="W22" s="331"/>
      <c r="X22" s="331"/>
      <c r="Y22" s="331"/>
      <c r="Z22" s="331"/>
      <c r="AA22" s="331"/>
      <c r="AB22" s="331"/>
      <c r="AC22" s="331"/>
      <c r="AD22" s="331"/>
      <c r="AE22" s="331"/>
      <c r="AF22" s="331"/>
      <c r="AG22" s="331"/>
      <c r="AH22" s="331"/>
      <c r="AI22" s="331"/>
      <c r="AJ22" s="331"/>
      <c r="AK22" s="331"/>
      <c r="AL22" s="332"/>
    </row>
    <row r="23" spans="2:41" ht="18" x14ac:dyDescent="0.2">
      <c r="F23" s="398"/>
      <c r="G23" s="398"/>
      <c r="H23" s="398"/>
      <c r="I23" s="398"/>
      <c r="J23" s="398"/>
      <c r="K23" s="398"/>
      <c r="L23" s="398"/>
      <c r="M23" s="398"/>
      <c r="N23" s="398"/>
      <c r="O23" s="398"/>
      <c r="P23" s="398"/>
      <c r="Q23" s="398"/>
      <c r="R23" s="398"/>
      <c r="U23" s="333"/>
      <c r="V23" s="334"/>
      <c r="W23" s="334"/>
      <c r="X23" s="334"/>
      <c r="Y23" s="334"/>
      <c r="Z23" s="334"/>
      <c r="AA23" s="334"/>
      <c r="AB23" s="334"/>
      <c r="AC23" s="334"/>
      <c r="AD23" s="334"/>
      <c r="AE23" s="334"/>
      <c r="AF23" s="334"/>
      <c r="AG23" s="334"/>
      <c r="AH23" s="334"/>
      <c r="AI23" s="334"/>
      <c r="AJ23" s="334"/>
      <c r="AK23" s="334"/>
      <c r="AL23" s="335"/>
    </row>
    <row r="24" spans="2:41" ht="18" x14ac:dyDescent="0.2">
      <c r="F24" s="18" t="s">
        <v>77</v>
      </c>
      <c r="G24" s="13"/>
      <c r="H24" s="13"/>
      <c r="I24" s="13"/>
      <c r="J24" s="13"/>
      <c r="K24" s="13"/>
      <c r="L24" s="13"/>
      <c r="M24" s="13"/>
      <c r="N24" s="13"/>
      <c r="O24" s="13"/>
      <c r="P24" s="13"/>
      <c r="Q24" s="13"/>
      <c r="R24" s="13"/>
      <c r="U24" s="333"/>
      <c r="V24" s="334"/>
      <c r="W24" s="334"/>
      <c r="X24" s="334"/>
      <c r="Y24" s="334"/>
      <c r="Z24" s="334"/>
      <c r="AA24" s="334"/>
      <c r="AB24" s="334"/>
      <c r="AC24" s="334"/>
      <c r="AD24" s="334"/>
      <c r="AE24" s="334"/>
      <c r="AF24" s="334"/>
      <c r="AG24" s="334"/>
      <c r="AH24" s="334"/>
      <c r="AI24" s="334"/>
      <c r="AJ24" s="334"/>
      <c r="AK24" s="334"/>
      <c r="AL24" s="335"/>
    </row>
    <row r="25" spans="2:41" ht="18" x14ac:dyDescent="0.2">
      <c r="F25" s="130"/>
      <c r="G25" s="130"/>
      <c r="H25" s="130"/>
      <c r="I25" s="130"/>
      <c r="J25" s="130"/>
      <c r="K25" s="130"/>
      <c r="L25" s="130"/>
      <c r="M25" s="130"/>
      <c r="N25" s="130"/>
      <c r="O25" s="130"/>
      <c r="P25" s="130"/>
      <c r="Q25" s="130"/>
      <c r="R25" s="130"/>
      <c r="S25" s="13"/>
      <c r="T25" s="13"/>
      <c r="U25" s="336"/>
      <c r="V25" s="337"/>
      <c r="W25" s="337"/>
      <c r="X25" s="337"/>
      <c r="Y25" s="337"/>
      <c r="Z25" s="337"/>
      <c r="AA25" s="337"/>
      <c r="AB25" s="337"/>
      <c r="AC25" s="337"/>
      <c r="AD25" s="337"/>
      <c r="AE25" s="337"/>
      <c r="AF25" s="337"/>
      <c r="AG25" s="337"/>
      <c r="AH25" s="337"/>
      <c r="AI25" s="337"/>
      <c r="AJ25" s="337"/>
      <c r="AK25" s="337"/>
      <c r="AL25" s="338"/>
    </row>
    <row r="26" spans="2:41" ht="18" x14ac:dyDescent="0.2">
      <c r="F26" s="398"/>
      <c r="G26" s="398"/>
      <c r="H26" s="398"/>
      <c r="I26" s="398"/>
      <c r="J26" s="398"/>
      <c r="K26" s="398"/>
      <c r="L26" s="398"/>
      <c r="M26" s="398"/>
      <c r="N26" s="398"/>
      <c r="O26" s="398"/>
      <c r="P26" s="398"/>
      <c r="Q26" s="398"/>
      <c r="R26" s="398"/>
      <c r="S26" s="13"/>
      <c r="T26" s="13"/>
      <c r="U26" s="336"/>
      <c r="V26" s="337"/>
      <c r="W26" s="337"/>
      <c r="X26" s="337"/>
      <c r="Y26" s="337"/>
      <c r="Z26" s="337"/>
      <c r="AA26" s="337"/>
      <c r="AB26" s="337"/>
      <c r="AC26" s="337"/>
      <c r="AD26" s="337"/>
      <c r="AE26" s="337"/>
      <c r="AF26" s="337"/>
      <c r="AG26" s="337"/>
      <c r="AH26" s="337"/>
      <c r="AI26" s="337"/>
      <c r="AJ26" s="337"/>
      <c r="AK26" s="337"/>
      <c r="AL26" s="338"/>
    </row>
    <row r="27" spans="2:41" ht="15" x14ac:dyDescent="0.2">
      <c r="F27" s="10" t="s">
        <v>75</v>
      </c>
      <c r="S27" s="130"/>
      <c r="T27" s="130"/>
      <c r="U27" s="339"/>
      <c r="V27" s="340"/>
      <c r="W27" s="340"/>
      <c r="X27" s="340"/>
      <c r="Y27" s="340"/>
      <c r="Z27" s="340"/>
      <c r="AA27" s="340"/>
      <c r="AB27" s="340"/>
      <c r="AC27" s="340"/>
      <c r="AD27" s="340"/>
      <c r="AE27" s="340"/>
      <c r="AF27" s="340"/>
      <c r="AG27" s="340"/>
      <c r="AH27" s="340"/>
      <c r="AI27" s="340"/>
      <c r="AJ27" s="340"/>
      <c r="AK27" s="340"/>
      <c r="AL27" s="341"/>
      <c r="AM27" s="394"/>
      <c r="AN27" s="395"/>
    </row>
    <row r="28" spans="2:41" ht="15" x14ac:dyDescent="0.2">
      <c r="U28" s="339"/>
      <c r="V28" s="340"/>
      <c r="W28" s="340"/>
      <c r="X28" s="340"/>
      <c r="Y28" s="340"/>
      <c r="Z28" s="340"/>
      <c r="AA28" s="340"/>
      <c r="AB28" s="340"/>
      <c r="AC28" s="340"/>
      <c r="AD28" s="340"/>
      <c r="AE28" s="340"/>
      <c r="AF28" s="340"/>
      <c r="AG28" s="340"/>
      <c r="AH28" s="340"/>
      <c r="AI28" s="340"/>
      <c r="AJ28" s="340"/>
      <c r="AK28" s="340"/>
      <c r="AL28" s="341"/>
      <c r="AM28" s="394"/>
      <c r="AN28" s="395"/>
    </row>
    <row r="29" spans="2:41" ht="15" x14ac:dyDescent="0.2">
      <c r="F29" s="398"/>
      <c r="G29" s="398"/>
      <c r="H29" s="398"/>
      <c r="I29" s="398"/>
      <c r="J29" s="398"/>
      <c r="K29" s="398"/>
      <c r="L29" s="398"/>
      <c r="M29" s="398"/>
      <c r="N29" s="398"/>
      <c r="O29" s="398"/>
      <c r="P29" s="398"/>
      <c r="Q29" s="398"/>
      <c r="R29" s="398"/>
      <c r="U29" s="339"/>
      <c r="V29" s="340"/>
      <c r="W29" s="340"/>
      <c r="X29" s="340"/>
      <c r="Y29" s="340"/>
      <c r="Z29" s="340"/>
      <c r="AA29" s="340"/>
      <c r="AB29" s="340"/>
      <c r="AC29" s="340"/>
      <c r="AD29" s="340"/>
      <c r="AE29" s="340"/>
      <c r="AF29" s="340"/>
      <c r="AG29" s="340"/>
      <c r="AH29" s="340"/>
      <c r="AI29" s="340"/>
      <c r="AJ29" s="340"/>
      <c r="AK29" s="340"/>
      <c r="AL29" s="341"/>
      <c r="AM29" s="394"/>
      <c r="AN29" s="395"/>
    </row>
    <row r="30" spans="2:41" ht="15" x14ac:dyDescent="0.2">
      <c r="F30" s="10" t="s">
        <v>76</v>
      </c>
      <c r="U30" s="339"/>
      <c r="V30" s="340"/>
      <c r="W30" s="340"/>
      <c r="X30" s="340"/>
      <c r="Y30" s="340"/>
      <c r="Z30" s="340"/>
      <c r="AA30" s="340"/>
      <c r="AB30" s="340"/>
      <c r="AC30" s="340"/>
      <c r="AD30" s="340"/>
      <c r="AE30" s="340"/>
      <c r="AF30" s="340"/>
      <c r="AG30" s="340"/>
      <c r="AH30" s="340"/>
      <c r="AI30" s="340"/>
      <c r="AJ30" s="340"/>
      <c r="AK30" s="340"/>
      <c r="AL30" s="341"/>
      <c r="AM30" s="394"/>
      <c r="AN30" s="395"/>
    </row>
    <row r="31" spans="2:41" ht="18" x14ac:dyDescent="0.2">
      <c r="U31" s="339"/>
      <c r="V31" s="340"/>
      <c r="W31" s="340"/>
      <c r="X31" s="340"/>
      <c r="Y31" s="340"/>
      <c r="Z31" s="340"/>
      <c r="AA31" s="340"/>
      <c r="AB31" s="340"/>
      <c r="AC31" s="340"/>
      <c r="AD31" s="340"/>
      <c r="AE31" s="340"/>
      <c r="AF31" s="340"/>
      <c r="AG31" s="340"/>
      <c r="AH31" s="340"/>
      <c r="AI31" s="340"/>
      <c r="AJ31" s="340"/>
      <c r="AK31" s="340"/>
      <c r="AL31" s="341"/>
      <c r="AM31" s="396"/>
      <c r="AN31" s="397"/>
    </row>
    <row r="32" spans="2:41" x14ac:dyDescent="0.2">
      <c r="U32" s="339"/>
      <c r="V32" s="340"/>
      <c r="W32" s="340"/>
      <c r="X32" s="340"/>
      <c r="Y32" s="340"/>
      <c r="Z32" s="340"/>
      <c r="AA32" s="340"/>
      <c r="AB32" s="340"/>
      <c r="AC32" s="340"/>
      <c r="AD32" s="340"/>
      <c r="AE32" s="340"/>
      <c r="AF32" s="340"/>
      <c r="AG32" s="340"/>
      <c r="AH32" s="340"/>
      <c r="AI32" s="340"/>
      <c r="AJ32" s="340"/>
      <c r="AK32" s="340"/>
      <c r="AL32" s="341"/>
    </row>
    <row r="33" spans="21:38" ht="18" x14ac:dyDescent="0.2">
      <c r="U33" s="336"/>
      <c r="V33" s="337"/>
      <c r="W33" s="337"/>
      <c r="X33" s="337"/>
      <c r="Y33" s="337"/>
      <c r="Z33" s="337"/>
      <c r="AA33" s="337"/>
      <c r="AB33" s="337"/>
      <c r="AC33" s="337"/>
      <c r="AD33" s="337"/>
      <c r="AE33" s="337"/>
      <c r="AF33" s="337"/>
      <c r="AG33" s="337"/>
      <c r="AH33" s="337"/>
      <c r="AI33" s="337"/>
      <c r="AJ33" s="337"/>
      <c r="AK33" s="337"/>
      <c r="AL33" s="338"/>
    </row>
    <row r="34" spans="21:38" ht="18" x14ac:dyDescent="0.2">
      <c r="U34" s="336"/>
      <c r="V34" s="337"/>
      <c r="W34" s="337"/>
      <c r="X34" s="337"/>
      <c r="Y34" s="337"/>
      <c r="Z34" s="337"/>
      <c r="AA34" s="337"/>
      <c r="AB34" s="337"/>
      <c r="AC34" s="337"/>
      <c r="AD34" s="337"/>
      <c r="AE34" s="337"/>
      <c r="AF34" s="337"/>
      <c r="AG34" s="337"/>
      <c r="AH34" s="337"/>
      <c r="AI34" s="337"/>
      <c r="AJ34" s="337"/>
      <c r="AK34" s="337"/>
      <c r="AL34" s="338"/>
    </row>
    <row r="35" spans="21:38" ht="18" x14ac:dyDescent="0.2">
      <c r="U35" s="336"/>
      <c r="V35" s="337"/>
      <c r="W35" s="337"/>
      <c r="X35" s="337"/>
      <c r="Y35" s="337"/>
      <c r="Z35" s="337"/>
      <c r="AA35" s="337"/>
      <c r="AB35" s="337"/>
      <c r="AC35" s="337"/>
      <c r="AD35" s="337"/>
      <c r="AE35" s="337"/>
      <c r="AF35" s="337"/>
      <c r="AG35" s="337"/>
      <c r="AH35" s="337"/>
      <c r="AI35" s="337"/>
      <c r="AJ35" s="337"/>
      <c r="AK35" s="337"/>
      <c r="AL35" s="338"/>
    </row>
    <row r="36" spans="21:38" ht="18" x14ac:dyDescent="0.2">
      <c r="U36" s="336"/>
      <c r="V36" s="337"/>
      <c r="W36" s="337"/>
      <c r="X36" s="337"/>
      <c r="Y36" s="337"/>
      <c r="Z36" s="337"/>
      <c r="AA36" s="337"/>
      <c r="AB36" s="337"/>
      <c r="AC36" s="337"/>
      <c r="AD36" s="337"/>
      <c r="AE36" s="337"/>
      <c r="AF36" s="337"/>
      <c r="AG36" s="337"/>
      <c r="AH36" s="337"/>
      <c r="AI36" s="337"/>
      <c r="AJ36" s="337"/>
      <c r="AK36" s="337"/>
      <c r="AL36" s="338"/>
    </row>
    <row r="37" spans="21:38" ht="18" x14ac:dyDescent="0.2">
      <c r="U37" s="336"/>
      <c r="V37" s="337"/>
      <c r="W37" s="337"/>
      <c r="X37" s="337"/>
      <c r="Y37" s="337"/>
      <c r="Z37" s="337"/>
      <c r="AA37" s="337"/>
      <c r="AB37" s="337"/>
      <c r="AC37" s="337"/>
      <c r="AD37" s="337"/>
      <c r="AE37" s="337"/>
      <c r="AF37" s="337"/>
      <c r="AG37" s="337"/>
      <c r="AH37" s="337"/>
      <c r="AI37" s="337"/>
      <c r="AJ37" s="337"/>
      <c r="AK37" s="337"/>
      <c r="AL37" s="338"/>
    </row>
    <row r="38" spans="21:38" ht="18" x14ac:dyDescent="0.2">
      <c r="U38" s="336"/>
      <c r="V38" s="337"/>
      <c r="W38" s="337"/>
      <c r="X38" s="337"/>
      <c r="Y38" s="337"/>
      <c r="Z38" s="337"/>
      <c r="AA38" s="337"/>
      <c r="AB38" s="337"/>
      <c r="AC38" s="337"/>
      <c r="AD38" s="337"/>
      <c r="AE38" s="337"/>
      <c r="AF38" s="337"/>
      <c r="AG38" s="337"/>
      <c r="AH38" s="337"/>
      <c r="AI38" s="337"/>
      <c r="AJ38" s="337"/>
      <c r="AK38" s="337"/>
      <c r="AL38" s="338"/>
    </row>
    <row r="39" spans="21:38" ht="18" x14ac:dyDescent="0.2">
      <c r="U39" s="336"/>
      <c r="V39" s="337"/>
      <c r="W39" s="337"/>
      <c r="X39" s="337"/>
      <c r="Y39" s="337"/>
      <c r="Z39" s="337"/>
      <c r="AA39" s="337"/>
      <c r="AB39" s="337"/>
      <c r="AC39" s="337"/>
      <c r="AD39" s="337"/>
      <c r="AE39" s="337"/>
      <c r="AF39" s="337"/>
      <c r="AG39" s="337"/>
      <c r="AH39" s="337"/>
      <c r="AI39" s="337"/>
      <c r="AJ39" s="337"/>
      <c r="AK39" s="337"/>
      <c r="AL39" s="338"/>
    </row>
    <row r="40" spans="21:38" ht="18" x14ac:dyDescent="0.2">
      <c r="U40" s="336"/>
      <c r="V40" s="337"/>
      <c r="W40" s="337"/>
      <c r="X40" s="337"/>
      <c r="Y40" s="337"/>
      <c r="Z40" s="337"/>
      <c r="AA40" s="337"/>
      <c r="AB40" s="337"/>
      <c r="AC40" s="337"/>
      <c r="AD40" s="337"/>
      <c r="AE40" s="337"/>
      <c r="AF40" s="337"/>
      <c r="AG40" s="337"/>
      <c r="AH40" s="337"/>
      <c r="AI40" s="337"/>
      <c r="AJ40" s="337"/>
      <c r="AK40" s="337"/>
      <c r="AL40" s="338"/>
    </row>
    <row r="41" spans="21:38" x14ac:dyDescent="0.2">
      <c r="U41" s="342"/>
      <c r="V41" s="343"/>
      <c r="W41" s="343"/>
      <c r="X41" s="343"/>
      <c r="Y41" s="343"/>
      <c r="Z41" s="343"/>
      <c r="AA41" s="343"/>
      <c r="AB41" s="343"/>
      <c r="AC41" s="343"/>
      <c r="AD41" s="343"/>
      <c r="AE41" s="343"/>
      <c r="AF41" s="343"/>
      <c r="AG41" s="343"/>
      <c r="AH41" s="343"/>
      <c r="AI41" s="343"/>
      <c r="AJ41" s="343"/>
      <c r="AK41" s="343"/>
      <c r="AL41" s="344"/>
    </row>
    <row r="42" spans="21:38" x14ac:dyDescent="0.2">
      <c r="U42" s="345"/>
      <c r="V42" s="346"/>
      <c r="W42" s="346"/>
      <c r="X42" s="346"/>
      <c r="Y42" s="346"/>
      <c r="Z42" s="346"/>
      <c r="AA42" s="346"/>
      <c r="AB42" s="346"/>
      <c r="AC42" s="346"/>
      <c r="AD42" s="346"/>
      <c r="AE42" s="346"/>
      <c r="AF42" s="346"/>
      <c r="AG42" s="346"/>
      <c r="AH42" s="346"/>
      <c r="AI42" s="346"/>
      <c r="AJ42" s="346"/>
      <c r="AK42" s="346"/>
      <c r="AL42" s="347"/>
    </row>
  </sheetData>
  <sheetProtection selectLockedCells="1"/>
  <mergeCells count="31">
    <mergeCell ref="B22:E22"/>
    <mergeCell ref="C2:AO2"/>
    <mergeCell ref="B5:E5"/>
    <mergeCell ref="B10:E10"/>
    <mergeCell ref="F11:R11"/>
    <mergeCell ref="AA5:AL5"/>
    <mergeCell ref="AA6:AL6"/>
    <mergeCell ref="AA10:AL10"/>
    <mergeCell ref="AA11:AL11"/>
    <mergeCell ref="B8:D8"/>
    <mergeCell ref="AA12:AL12"/>
    <mergeCell ref="U17:AL17"/>
    <mergeCell ref="AA8:AL8"/>
    <mergeCell ref="AA14:AL14"/>
    <mergeCell ref="U18:AL18"/>
    <mergeCell ref="U19:AL19"/>
    <mergeCell ref="U20:AL20"/>
    <mergeCell ref="U16:AL16"/>
    <mergeCell ref="AM27:AN27"/>
    <mergeCell ref="F5:R5"/>
    <mergeCell ref="F20:R20"/>
    <mergeCell ref="F14:R14"/>
    <mergeCell ref="F17:R17"/>
    <mergeCell ref="F8:R8"/>
    <mergeCell ref="AM30:AN30"/>
    <mergeCell ref="AM31:AN31"/>
    <mergeCell ref="F23:R23"/>
    <mergeCell ref="F26:R26"/>
    <mergeCell ref="F29:R29"/>
    <mergeCell ref="AM28:AN28"/>
    <mergeCell ref="AM29:AN29"/>
  </mergeCells>
  <pageMargins left="0.70866141732283505" right="0.70866141732283505" top="0.74803149606299202" bottom="0" header="0.31496062992126" footer="0"/>
  <pageSetup paperSize="5" scale="77" orientation="landscape" r:id="rId1"/>
  <headerFooter>
    <oddHeader>&amp;L&amp;G&amp;C&amp;"Arial,Bold"&amp;18&amp;K000000Programme d’aide aux municipalités pour la reprise après une catastrophe</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557630"/>
    <pageSetUpPr fitToPage="1"/>
  </sheetPr>
  <dimension ref="B1:K29"/>
  <sheetViews>
    <sheetView showGridLines="0" zoomScale="90" zoomScaleNormal="90" zoomScalePageLayoutView="80" workbookViewId="0">
      <pane ySplit="6" topLeftCell="A7" activePane="bottomLeft" state="frozen"/>
      <selection pane="bottomLeft" activeCell="F12" sqref="F12"/>
    </sheetView>
  </sheetViews>
  <sheetFormatPr defaultRowHeight="12.75" x14ac:dyDescent="0.2"/>
  <cols>
    <col min="1" max="1" width="1" style="38" customWidth="1"/>
    <col min="2" max="2" width="2.625" style="38" customWidth="1"/>
    <col min="3" max="3" width="15" style="38" customWidth="1"/>
    <col min="4" max="4" width="14.25" style="38" customWidth="1"/>
    <col min="5" max="5" width="48.375" style="38" customWidth="1"/>
    <col min="6" max="6" width="41.5" style="38" customWidth="1"/>
    <col min="7" max="7" width="14.375" style="58" customWidth="1"/>
    <col min="8" max="8" width="18.125" style="38" customWidth="1"/>
    <col min="9" max="9" width="21.5" style="38" customWidth="1"/>
    <col min="10" max="10" width="14" style="38" customWidth="1"/>
    <col min="11" max="11" width="14.5" style="38" customWidth="1"/>
    <col min="12" max="12" width="9" style="38" customWidth="1"/>
    <col min="13" max="246" width="9" style="38"/>
    <col min="247" max="247" width="1" style="38" customWidth="1"/>
    <col min="248" max="248" width="16.25" style="38" customWidth="1"/>
    <col min="249" max="249" width="18.625" style="38" customWidth="1"/>
    <col min="250" max="250" width="6" style="38" customWidth="1"/>
    <col min="251" max="251" width="15.875" style="38" customWidth="1"/>
    <col min="252" max="252" width="10.375" style="38" customWidth="1"/>
    <col min="253" max="253" width="32.125" style="38" customWidth="1"/>
    <col min="254" max="254" width="13.625" style="38" customWidth="1"/>
    <col min="255" max="255" width="7.125" style="38" customWidth="1"/>
    <col min="256" max="256" width="4.375" style="38" customWidth="1"/>
    <col min="257" max="259" width="9.375" style="38" customWidth="1"/>
    <col min="260" max="502" width="9" style="38"/>
    <col min="503" max="503" width="1" style="38" customWidth="1"/>
    <col min="504" max="504" width="16.25" style="38" customWidth="1"/>
    <col min="505" max="505" width="18.625" style="38" customWidth="1"/>
    <col min="506" max="506" width="6" style="38" customWidth="1"/>
    <col min="507" max="507" width="15.875" style="38" customWidth="1"/>
    <col min="508" max="508" width="10.375" style="38" customWidth="1"/>
    <col min="509" max="509" width="32.125" style="38" customWidth="1"/>
    <col min="510" max="510" width="13.625" style="38" customWidth="1"/>
    <col min="511" max="511" width="7.125" style="38" customWidth="1"/>
    <col min="512" max="512" width="4.375" style="38" customWidth="1"/>
    <col min="513" max="515" width="9.375" style="38" customWidth="1"/>
    <col min="516" max="758" width="9" style="38"/>
    <col min="759" max="759" width="1" style="38" customWidth="1"/>
    <col min="760" max="760" width="16.25" style="38" customWidth="1"/>
    <col min="761" max="761" width="18.625" style="38" customWidth="1"/>
    <col min="762" max="762" width="6" style="38" customWidth="1"/>
    <col min="763" max="763" width="15.875" style="38" customWidth="1"/>
    <col min="764" max="764" width="10.375" style="38" customWidth="1"/>
    <col min="765" max="765" width="32.125" style="38" customWidth="1"/>
    <col min="766" max="766" width="13.625" style="38" customWidth="1"/>
    <col min="767" max="767" width="7.125" style="38" customWidth="1"/>
    <col min="768" max="768" width="4.375" style="38" customWidth="1"/>
    <col min="769" max="771" width="9.375" style="38" customWidth="1"/>
    <col min="772" max="1014" width="9" style="38"/>
    <col min="1015" max="1015" width="1" style="38" customWidth="1"/>
    <col min="1016" max="1016" width="16.25" style="38" customWidth="1"/>
    <col min="1017" max="1017" width="18.625" style="38" customWidth="1"/>
    <col min="1018" max="1018" width="6" style="38" customWidth="1"/>
    <col min="1019" max="1019" width="15.875" style="38" customWidth="1"/>
    <col min="1020" max="1020" width="10.375" style="38" customWidth="1"/>
    <col min="1021" max="1021" width="32.125" style="38" customWidth="1"/>
    <col min="1022" max="1022" width="13.625" style="38" customWidth="1"/>
    <col min="1023" max="1023" width="7.125" style="38" customWidth="1"/>
    <col min="1024" max="1024" width="4.375" style="38" customWidth="1"/>
    <col min="1025" max="1027" width="9.375" style="38" customWidth="1"/>
    <col min="1028" max="1270" width="9" style="38"/>
    <col min="1271" max="1271" width="1" style="38" customWidth="1"/>
    <col min="1272" max="1272" width="16.25" style="38" customWidth="1"/>
    <col min="1273" max="1273" width="18.625" style="38" customWidth="1"/>
    <col min="1274" max="1274" width="6" style="38" customWidth="1"/>
    <col min="1275" max="1275" width="15.875" style="38" customWidth="1"/>
    <col min="1276" max="1276" width="10.375" style="38" customWidth="1"/>
    <col min="1277" max="1277" width="32.125" style="38" customWidth="1"/>
    <col min="1278" max="1278" width="13.625" style="38" customWidth="1"/>
    <col min="1279" max="1279" width="7.125" style="38" customWidth="1"/>
    <col min="1280" max="1280" width="4.375" style="38" customWidth="1"/>
    <col min="1281" max="1283" width="9.375" style="38" customWidth="1"/>
    <col min="1284" max="1526" width="9" style="38"/>
    <col min="1527" max="1527" width="1" style="38" customWidth="1"/>
    <col min="1528" max="1528" width="16.25" style="38" customWidth="1"/>
    <col min="1529" max="1529" width="18.625" style="38" customWidth="1"/>
    <col min="1530" max="1530" width="6" style="38" customWidth="1"/>
    <col min="1531" max="1531" width="15.875" style="38" customWidth="1"/>
    <col min="1532" max="1532" width="10.375" style="38" customWidth="1"/>
    <col min="1533" max="1533" width="32.125" style="38" customWidth="1"/>
    <col min="1534" max="1534" width="13.625" style="38" customWidth="1"/>
    <col min="1535" max="1535" width="7.125" style="38" customWidth="1"/>
    <col min="1536" max="1536" width="4.375" style="38" customWidth="1"/>
    <col min="1537" max="1539" width="9.375" style="38" customWidth="1"/>
    <col min="1540" max="1782" width="9" style="38"/>
    <col min="1783" max="1783" width="1" style="38" customWidth="1"/>
    <col min="1784" max="1784" width="16.25" style="38" customWidth="1"/>
    <col min="1785" max="1785" width="18.625" style="38" customWidth="1"/>
    <col min="1786" max="1786" width="6" style="38" customWidth="1"/>
    <col min="1787" max="1787" width="15.875" style="38" customWidth="1"/>
    <col min="1788" max="1788" width="10.375" style="38" customWidth="1"/>
    <col min="1789" max="1789" width="32.125" style="38" customWidth="1"/>
    <col min="1790" max="1790" width="13.625" style="38" customWidth="1"/>
    <col min="1791" max="1791" width="7.125" style="38" customWidth="1"/>
    <col min="1792" max="1792" width="4.375" style="38" customWidth="1"/>
    <col min="1793" max="1795" width="9.375" style="38" customWidth="1"/>
    <col min="1796" max="2038" width="9" style="38"/>
    <col min="2039" max="2039" width="1" style="38" customWidth="1"/>
    <col min="2040" max="2040" width="16.25" style="38" customWidth="1"/>
    <col min="2041" max="2041" width="18.625" style="38" customWidth="1"/>
    <col min="2042" max="2042" width="6" style="38" customWidth="1"/>
    <col min="2043" max="2043" width="15.875" style="38" customWidth="1"/>
    <col min="2044" max="2044" width="10.375" style="38" customWidth="1"/>
    <col min="2045" max="2045" width="32.125" style="38" customWidth="1"/>
    <col min="2046" max="2046" width="13.625" style="38" customWidth="1"/>
    <col min="2047" max="2047" width="7.125" style="38" customWidth="1"/>
    <col min="2048" max="2048" width="4.375" style="38" customWidth="1"/>
    <col min="2049" max="2051" width="9.375" style="38" customWidth="1"/>
    <col min="2052" max="2294" width="9" style="38"/>
    <col min="2295" max="2295" width="1" style="38" customWidth="1"/>
    <col min="2296" max="2296" width="16.25" style="38" customWidth="1"/>
    <col min="2297" max="2297" width="18.625" style="38" customWidth="1"/>
    <col min="2298" max="2298" width="6" style="38" customWidth="1"/>
    <col min="2299" max="2299" width="15.875" style="38" customWidth="1"/>
    <col min="2300" max="2300" width="10.375" style="38" customWidth="1"/>
    <col min="2301" max="2301" width="32.125" style="38" customWidth="1"/>
    <col min="2302" max="2302" width="13.625" style="38" customWidth="1"/>
    <col min="2303" max="2303" width="7.125" style="38" customWidth="1"/>
    <col min="2304" max="2304" width="4.375" style="38" customWidth="1"/>
    <col min="2305" max="2307" width="9.375" style="38" customWidth="1"/>
    <col min="2308" max="2550" width="9" style="38"/>
    <col min="2551" max="2551" width="1" style="38" customWidth="1"/>
    <col min="2552" max="2552" width="16.25" style="38" customWidth="1"/>
    <col min="2553" max="2553" width="18.625" style="38" customWidth="1"/>
    <col min="2554" max="2554" width="6" style="38" customWidth="1"/>
    <col min="2555" max="2555" width="15.875" style="38" customWidth="1"/>
    <col min="2556" max="2556" width="10.375" style="38" customWidth="1"/>
    <col min="2557" max="2557" width="32.125" style="38" customWidth="1"/>
    <col min="2558" max="2558" width="13.625" style="38" customWidth="1"/>
    <col min="2559" max="2559" width="7.125" style="38" customWidth="1"/>
    <col min="2560" max="2560" width="4.375" style="38" customWidth="1"/>
    <col min="2561" max="2563" width="9.375" style="38" customWidth="1"/>
    <col min="2564" max="2806" width="9" style="38"/>
    <col min="2807" max="2807" width="1" style="38" customWidth="1"/>
    <col min="2808" max="2808" width="16.25" style="38" customWidth="1"/>
    <col min="2809" max="2809" width="18.625" style="38" customWidth="1"/>
    <col min="2810" max="2810" width="6" style="38" customWidth="1"/>
    <col min="2811" max="2811" width="15.875" style="38" customWidth="1"/>
    <col min="2812" max="2812" width="10.375" style="38" customWidth="1"/>
    <col min="2813" max="2813" width="32.125" style="38" customWidth="1"/>
    <col min="2814" max="2814" width="13.625" style="38" customWidth="1"/>
    <col min="2815" max="2815" width="7.125" style="38" customWidth="1"/>
    <col min="2816" max="2816" width="4.375" style="38" customWidth="1"/>
    <col min="2817" max="2819" width="9.375" style="38" customWidth="1"/>
    <col min="2820" max="3062" width="9" style="38"/>
    <col min="3063" max="3063" width="1" style="38" customWidth="1"/>
    <col min="3064" max="3064" width="16.25" style="38" customWidth="1"/>
    <col min="3065" max="3065" width="18.625" style="38" customWidth="1"/>
    <col min="3066" max="3066" width="6" style="38" customWidth="1"/>
    <col min="3067" max="3067" width="15.875" style="38" customWidth="1"/>
    <col min="3068" max="3068" width="10.375" style="38" customWidth="1"/>
    <col min="3069" max="3069" width="32.125" style="38" customWidth="1"/>
    <col min="3070" max="3070" width="13.625" style="38" customWidth="1"/>
    <col min="3071" max="3071" width="7.125" style="38" customWidth="1"/>
    <col min="3072" max="3072" width="4.375" style="38" customWidth="1"/>
    <col min="3073" max="3075" width="9.375" style="38" customWidth="1"/>
    <col min="3076" max="3318" width="9" style="38"/>
    <col min="3319" max="3319" width="1" style="38" customWidth="1"/>
    <col min="3320" max="3320" width="16.25" style="38" customWidth="1"/>
    <col min="3321" max="3321" width="18.625" style="38" customWidth="1"/>
    <col min="3322" max="3322" width="6" style="38" customWidth="1"/>
    <col min="3323" max="3323" width="15.875" style="38" customWidth="1"/>
    <col min="3324" max="3324" width="10.375" style="38" customWidth="1"/>
    <col min="3325" max="3325" width="32.125" style="38" customWidth="1"/>
    <col min="3326" max="3326" width="13.625" style="38" customWidth="1"/>
    <col min="3327" max="3327" width="7.125" style="38" customWidth="1"/>
    <col min="3328" max="3328" width="4.375" style="38" customWidth="1"/>
    <col min="3329" max="3331" width="9.375" style="38" customWidth="1"/>
    <col min="3332" max="3574" width="9" style="38"/>
    <col min="3575" max="3575" width="1" style="38" customWidth="1"/>
    <col min="3576" max="3576" width="16.25" style="38" customWidth="1"/>
    <col min="3577" max="3577" width="18.625" style="38" customWidth="1"/>
    <col min="3578" max="3578" width="6" style="38" customWidth="1"/>
    <col min="3579" max="3579" width="15.875" style="38" customWidth="1"/>
    <col min="3580" max="3580" width="10.375" style="38" customWidth="1"/>
    <col min="3581" max="3581" width="32.125" style="38" customWidth="1"/>
    <col min="3582" max="3582" width="13.625" style="38" customWidth="1"/>
    <col min="3583" max="3583" width="7.125" style="38" customWidth="1"/>
    <col min="3584" max="3584" width="4.375" style="38" customWidth="1"/>
    <col min="3585" max="3587" width="9.375" style="38" customWidth="1"/>
    <col min="3588" max="3830" width="9" style="38"/>
    <col min="3831" max="3831" width="1" style="38" customWidth="1"/>
    <col min="3832" max="3832" width="16.25" style="38" customWidth="1"/>
    <col min="3833" max="3833" width="18.625" style="38" customWidth="1"/>
    <col min="3834" max="3834" width="6" style="38" customWidth="1"/>
    <col min="3835" max="3835" width="15.875" style="38" customWidth="1"/>
    <col min="3836" max="3836" width="10.375" style="38" customWidth="1"/>
    <col min="3837" max="3837" width="32.125" style="38" customWidth="1"/>
    <col min="3838" max="3838" width="13.625" style="38" customWidth="1"/>
    <col min="3839" max="3839" width="7.125" style="38" customWidth="1"/>
    <col min="3840" max="3840" width="4.375" style="38" customWidth="1"/>
    <col min="3841" max="3843" width="9.375" style="38" customWidth="1"/>
    <col min="3844" max="4086" width="9" style="38"/>
    <col min="4087" max="4087" width="1" style="38" customWidth="1"/>
    <col min="4088" max="4088" width="16.25" style="38" customWidth="1"/>
    <col min="4089" max="4089" width="18.625" style="38" customWidth="1"/>
    <col min="4090" max="4090" width="6" style="38" customWidth="1"/>
    <col min="4091" max="4091" width="15.875" style="38" customWidth="1"/>
    <col min="4092" max="4092" width="10.375" style="38" customWidth="1"/>
    <col min="4093" max="4093" width="32.125" style="38" customWidth="1"/>
    <col min="4094" max="4094" width="13.625" style="38" customWidth="1"/>
    <col min="4095" max="4095" width="7.125" style="38" customWidth="1"/>
    <col min="4096" max="4096" width="4.375" style="38" customWidth="1"/>
    <col min="4097" max="4099" width="9.375" style="38" customWidth="1"/>
    <col min="4100" max="4342" width="9" style="38"/>
    <col min="4343" max="4343" width="1" style="38" customWidth="1"/>
    <col min="4344" max="4344" width="16.25" style="38" customWidth="1"/>
    <col min="4345" max="4345" width="18.625" style="38" customWidth="1"/>
    <col min="4346" max="4346" width="6" style="38" customWidth="1"/>
    <col min="4347" max="4347" width="15.875" style="38" customWidth="1"/>
    <col min="4348" max="4348" width="10.375" style="38" customWidth="1"/>
    <col min="4349" max="4349" width="32.125" style="38" customWidth="1"/>
    <col min="4350" max="4350" width="13.625" style="38" customWidth="1"/>
    <col min="4351" max="4351" width="7.125" style="38" customWidth="1"/>
    <col min="4352" max="4352" width="4.375" style="38" customWidth="1"/>
    <col min="4353" max="4355" width="9.375" style="38" customWidth="1"/>
    <col min="4356" max="4598" width="9" style="38"/>
    <col min="4599" max="4599" width="1" style="38" customWidth="1"/>
    <col min="4600" max="4600" width="16.25" style="38" customWidth="1"/>
    <col min="4601" max="4601" width="18.625" style="38" customWidth="1"/>
    <col min="4602" max="4602" width="6" style="38" customWidth="1"/>
    <col min="4603" max="4603" width="15.875" style="38" customWidth="1"/>
    <col min="4604" max="4604" width="10.375" style="38" customWidth="1"/>
    <col min="4605" max="4605" width="32.125" style="38" customWidth="1"/>
    <col min="4606" max="4606" width="13.625" style="38" customWidth="1"/>
    <col min="4607" max="4607" width="7.125" style="38" customWidth="1"/>
    <col min="4608" max="4608" width="4.375" style="38" customWidth="1"/>
    <col min="4609" max="4611" width="9.375" style="38" customWidth="1"/>
    <col min="4612" max="4854" width="9" style="38"/>
    <col min="4855" max="4855" width="1" style="38" customWidth="1"/>
    <col min="4856" max="4856" width="16.25" style="38" customWidth="1"/>
    <col min="4857" max="4857" width="18.625" style="38" customWidth="1"/>
    <col min="4858" max="4858" width="6" style="38" customWidth="1"/>
    <col min="4859" max="4859" width="15.875" style="38" customWidth="1"/>
    <col min="4860" max="4860" width="10.375" style="38" customWidth="1"/>
    <col min="4861" max="4861" width="32.125" style="38" customWidth="1"/>
    <col min="4862" max="4862" width="13.625" style="38" customWidth="1"/>
    <col min="4863" max="4863" width="7.125" style="38" customWidth="1"/>
    <col min="4864" max="4864" width="4.375" style="38" customWidth="1"/>
    <col min="4865" max="4867" width="9.375" style="38" customWidth="1"/>
    <col min="4868" max="5110" width="9" style="38"/>
    <col min="5111" max="5111" width="1" style="38" customWidth="1"/>
    <col min="5112" max="5112" width="16.25" style="38" customWidth="1"/>
    <col min="5113" max="5113" width="18.625" style="38" customWidth="1"/>
    <col min="5114" max="5114" width="6" style="38" customWidth="1"/>
    <col min="5115" max="5115" width="15.875" style="38" customWidth="1"/>
    <col min="5116" max="5116" width="10.375" style="38" customWidth="1"/>
    <col min="5117" max="5117" width="32.125" style="38" customWidth="1"/>
    <col min="5118" max="5118" width="13.625" style="38" customWidth="1"/>
    <col min="5119" max="5119" width="7.125" style="38" customWidth="1"/>
    <col min="5120" max="5120" width="4.375" style="38" customWidth="1"/>
    <col min="5121" max="5123" width="9.375" style="38" customWidth="1"/>
    <col min="5124" max="5366" width="9" style="38"/>
    <col min="5367" max="5367" width="1" style="38" customWidth="1"/>
    <col min="5368" max="5368" width="16.25" style="38" customWidth="1"/>
    <col min="5369" max="5369" width="18.625" style="38" customWidth="1"/>
    <col min="5370" max="5370" width="6" style="38" customWidth="1"/>
    <col min="5371" max="5371" width="15.875" style="38" customWidth="1"/>
    <col min="5372" max="5372" width="10.375" style="38" customWidth="1"/>
    <col min="5373" max="5373" width="32.125" style="38" customWidth="1"/>
    <col min="5374" max="5374" width="13.625" style="38" customWidth="1"/>
    <col min="5375" max="5375" width="7.125" style="38" customWidth="1"/>
    <col min="5376" max="5376" width="4.375" style="38" customWidth="1"/>
    <col min="5377" max="5379" width="9.375" style="38" customWidth="1"/>
    <col min="5380" max="5622" width="9" style="38"/>
    <col min="5623" max="5623" width="1" style="38" customWidth="1"/>
    <col min="5624" max="5624" width="16.25" style="38" customWidth="1"/>
    <col min="5625" max="5625" width="18.625" style="38" customWidth="1"/>
    <col min="5626" max="5626" width="6" style="38" customWidth="1"/>
    <col min="5627" max="5627" width="15.875" style="38" customWidth="1"/>
    <col min="5628" max="5628" width="10.375" style="38" customWidth="1"/>
    <col min="5629" max="5629" width="32.125" style="38" customWidth="1"/>
    <col min="5630" max="5630" width="13.625" style="38" customWidth="1"/>
    <col min="5631" max="5631" width="7.125" style="38" customWidth="1"/>
    <col min="5632" max="5632" width="4.375" style="38" customWidth="1"/>
    <col min="5633" max="5635" width="9.375" style="38" customWidth="1"/>
    <col min="5636" max="5878" width="9" style="38"/>
    <col min="5879" max="5879" width="1" style="38" customWidth="1"/>
    <col min="5880" max="5880" width="16.25" style="38" customWidth="1"/>
    <col min="5881" max="5881" width="18.625" style="38" customWidth="1"/>
    <col min="5882" max="5882" width="6" style="38" customWidth="1"/>
    <col min="5883" max="5883" width="15.875" style="38" customWidth="1"/>
    <col min="5884" max="5884" width="10.375" style="38" customWidth="1"/>
    <col min="5885" max="5885" width="32.125" style="38" customWidth="1"/>
    <col min="5886" max="5886" width="13.625" style="38" customWidth="1"/>
    <col min="5887" max="5887" width="7.125" style="38" customWidth="1"/>
    <col min="5888" max="5888" width="4.375" style="38" customWidth="1"/>
    <col min="5889" max="5891" width="9.375" style="38" customWidth="1"/>
    <col min="5892" max="6134" width="9" style="38"/>
    <col min="6135" max="6135" width="1" style="38" customWidth="1"/>
    <col min="6136" max="6136" width="16.25" style="38" customWidth="1"/>
    <col min="6137" max="6137" width="18.625" style="38" customWidth="1"/>
    <col min="6138" max="6138" width="6" style="38" customWidth="1"/>
    <col min="6139" max="6139" width="15.875" style="38" customWidth="1"/>
    <col min="6140" max="6140" width="10.375" style="38" customWidth="1"/>
    <col min="6141" max="6141" width="32.125" style="38" customWidth="1"/>
    <col min="6142" max="6142" width="13.625" style="38" customWidth="1"/>
    <col min="6143" max="6143" width="7.125" style="38" customWidth="1"/>
    <col min="6144" max="6144" width="4.375" style="38" customWidth="1"/>
    <col min="6145" max="6147" width="9.375" style="38" customWidth="1"/>
    <col min="6148" max="6390" width="9" style="38"/>
    <col min="6391" max="6391" width="1" style="38" customWidth="1"/>
    <col min="6392" max="6392" width="16.25" style="38" customWidth="1"/>
    <col min="6393" max="6393" width="18.625" style="38" customWidth="1"/>
    <col min="6394" max="6394" width="6" style="38" customWidth="1"/>
    <col min="6395" max="6395" width="15.875" style="38" customWidth="1"/>
    <col min="6396" max="6396" width="10.375" style="38" customWidth="1"/>
    <col min="6397" max="6397" width="32.125" style="38" customWidth="1"/>
    <col min="6398" max="6398" width="13.625" style="38" customWidth="1"/>
    <col min="6399" max="6399" width="7.125" style="38" customWidth="1"/>
    <col min="6400" max="6400" width="4.375" style="38" customWidth="1"/>
    <col min="6401" max="6403" width="9.375" style="38" customWidth="1"/>
    <col min="6404" max="6646" width="9" style="38"/>
    <col min="6647" max="6647" width="1" style="38" customWidth="1"/>
    <col min="6648" max="6648" width="16.25" style="38" customWidth="1"/>
    <col min="6649" max="6649" width="18.625" style="38" customWidth="1"/>
    <col min="6650" max="6650" width="6" style="38" customWidth="1"/>
    <col min="6651" max="6651" width="15.875" style="38" customWidth="1"/>
    <col min="6652" max="6652" width="10.375" style="38" customWidth="1"/>
    <col min="6653" max="6653" width="32.125" style="38" customWidth="1"/>
    <col min="6654" max="6654" width="13.625" style="38" customWidth="1"/>
    <col min="6655" max="6655" width="7.125" style="38" customWidth="1"/>
    <col min="6656" max="6656" width="4.375" style="38" customWidth="1"/>
    <col min="6657" max="6659" width="9.375" style="38" customWidth="1"/>
    <col min="6660" max="6902" width="9" style="38"/>
    <col min="6903" max="6903" width="1" style="38" customWidth="1"/>
    <col min="6904" max="6904" width="16.25" style="38" customWidth="1"/>
    <col min="6905" max="6905" width="18.625" style="38" customWidth="1"/>
    <col min="6906" max="6906" width="6" style="38" customWidth="1"/>
    <col min="6907" max="6907" width="15.875" style="38" customWidth="1"/>
    <col min="6908" max="6908" width="10.375" style="38" customWidth="1"/>
    <col min="6909" max="6909" width="32.125" style="38" customWidth="1"/>
    <col min="6910" max="6910" width="13.625" style="38" customWidth="1"/>
    <col min="6911" max="6911" width="7.125" style="38" customWidth="1"/>
    <col min="6912" max="6912" width="4.375" style="38" customWidth="1"/>
    <col min="6913" max="6915" width="9.375" style="38" customWidth="1"/>
    <col min="6916" max="7158" width="9" style="38"/>
    <col min="7159" max="7159" width="1" style="38" customWidth="1"/>
    <col min="7160" max="7160" width="16.25" style="38" customWidth="1"/>
    <col min="7161" max="7161" width="18.625" style="38" customWidth="1"/>
    <col min="7162" max="7162" width="6" style="38" customWidth="1"/>
    <col min="7163" max="7163" width="15.875" style="38" customWidth="1"/>
    <col min="7164" max="7164" width="10.375" style="38" customWidth="1"/>
    <col min="7165" max="7165" width="32.125" style="38" customWidth="1"/>
    <col min="7166" max="7166" width="13.625" style="38" customWidth="1"/>
    <col min="7167" max="7167" width="7.125" style="38" customWidth="1"/>
    <col min="7168" max="7168" width="4.375" style="38" customWidth="1"/>
    <col min="7169" max="7171" width="9.375" style="38" customWidth="1"/>
    <col min="7172" max="7414" width="9" style="38"/>
    <col min="7415" max="7415" width="1" style="38" customWidth="1"/>
    <col min="7416" max="7416" width="16.25" style="38" customWidth="1"/>
    <col min="7417" max="7417" width="18.625" style="38" customWidth="1"/>
    <col min="7418" max="7418" width="6" style="38" customWidth="1"/>
    <col min="7419" max="7419" width="15.875" style="38" customWidth="1"/>
    <col min="7420" max="7420" width="10.375" style="38" customWidth="1"/>
    <col min="7421" max="7421" width="32.125" style="38" customWidth="1"/>
    <col min="7422" max="7422" width="13.625" style="38" customWidth="1"/>
    <col min="7423" max="7423" width="7.125" style="38" customWidth="1"/>
    <col min="7424" max="7424" width="4.375" style="38" customWidth="1"/>
    <col min="7425" max="7427" width="9.375" style="38" customWidth="1"/>
    <col min="7428" max="7670" width="9" style="38"/>
    <col min="7671" max="7671" width="1" style="38" customWidth="1"/>
    <col min="7672" max="7672" width="16.25" style="38" customWidth="1"/>
    <col min="7673" max="7673" width="18.625" style="38" customWidth="1"/>
    <col min="7674" max="7674" width="6" style="38" customWidth="1"/>
    <col min="7675" max="7675" width="15.875" style="38" customWidth="1"/>
    <col min="7676" max="7676" width="10.375" style="38" customWidth="1"/>
    <col min="7677" max="7677" width="32.125" style="38" customWidth="1"/>
    <col min="7678" max="7678" width="13.625" style="38" customWidth="1"/>
    <col min="7679" max="7679" width="7.125" style="38" customWidth="1"/>
    <col min="7680" max="7680" width="4.375" style="38" customWidth="1"/>
    <col min="7681" max="7683" width="9.375" style="38" customWidth="1"/>
    <col min="7684" max="7926" width="9" style="38"/>
    <col min="7927" max="7927" width="1" style="38" customWidth="1"/>
    <col min="7928" max="7928" width="16.25" style="38" customWidth="1"/>
    <col min="7929" max="7929" width="18.625" style="38" customWidth="1"/>
    <col min="7930" max="7930" width="6" style="38" customWidth="1"/>
    <col min="7931" max="7931" width="15.875" style="38" customWidth="1"/>
    <col min="7932" max="7932" width="10.375" style="38" customWidth="1"/>
    <col min="7933" max="7933" width="32.125" style="38" customWidth="1"/>
    <col min="7934" max="7934" width="13.625" style="38" customWidth="1"/>
    <col min="7935" max="7935" width="7.125" style="38" customWidth="1"/>
    <col min="7936" max="7936" width="4.375" style="38" customWidth="1"/>
    <col min="7937" max="7939" width="9.375" style="38" customWidth="1"/>
    <col min="7940" max="8182" width="9" style="38"/>
    <col min="8183" max="8183" width="1" style="38" customWidth="1"/>
    <col min="8184" max="8184" width="16.25" style="38" customWidth="1"/>
    <col min="8185" max="8185" width="18.625" style="38" customWidth="1"/>
    <col min="8186" max="8186" width="6" style="38" customWidth="1"/>
    <col min="8187" max="8187" width="15.875" style="38" customWidth="1"/>
    <col min="8188" max="8188" width="10.375" style="38" customWidth="1"/>
    <col min="8189" max="8189" width="32.125" style="38" customWidth="1"/>
    <col min="8190" max="8190" width="13.625" style="38" customWidth="1"/>
    <col min="8191" max="8191" width="7.125" style="38" customWidth="1"/>
    <col min="8192" max="8192" width="4.375" style="38" customWidth="1"/>
    <col min="8193" max="8195" width="9.375" style="38" customWidth="1"/>
    <col min="8196" max="8438" width="9" style="38"/>
    <col min="8439" max="8439" width="1" style="38" customWidth="1"/>
    <col min="8440" max="8440" width="16.25" style="38" customWidth="1"/>
    <col min="8441" max="8441" width="18.625" style="38" customWidth="1"/>
    <col min="8442" max="8442" width="6" style="38" customWidth="1"/>
    <col min="8443" max="8443" width="15.875" style="38" customWidth="1"/>
    <col min="8444" max="8444" width="10.375" style="38" customWidth="1"/>
    <col min="8445" max="8445" width="32.125" style="38" customWidth="1"/>
    <col min="8446" max="8446" width="13.625" style="38" customWidth="1"/>
    <col min="8447" max="8447" width="7.125" style="38" customWidth="1"/>
    <col min="8448" max="8448" width="4.375" style="38" customWidth="1"/>
    <col min="8449" max="8451" width="9.375" style="38" customWidth="1"/>
    <col min="8452" max="8694" width="9" style="38"/>
    <col min="8695" max="8695" width="1" style="38" customWidth="1"/>
    <col min="8696" max="8696" width="16.25" style="38" customWidth="1"/>
    <col min="8697" max="8697" width="18.625" style="38" customWidth="1"/>
    <col min="8698" max="8698" width="6" style="38" customWidth="1"/>
    <col min="8699" max="8699" width="15.875" style="38" customWidth="1"/>
    <col min="8700" max="8700" width="10.375" style="38" customWidth="1"/>
    <col min="8701" max="8701" width="32.125" style="38" customWidth="1"/>
    <col min="8702" max="8702" width="13.625" style="38" customWidth="1"/>
    <col min="8703" max="8703" width="7.125" style="38" customWidth="1"/>
    <col min="8704" max="8704" width="4.375" style="38" customWidth="1"/>
    <col min="8705" max="8707" width="9.375" style="38" customWidth="1"/>
    <col min="8708" max="8950" width="9" style="38"/>
    <col min="8951" max="8951" width="1" style="38" customWidth="1"/>
    <col min="8952" max="8952" width="16.25" style="38" customWidth="1"/>
    <col min="8953" max="8953" width="18.625" style="38" customWidth="1"/>
    <col min="8954" max="8954" width="6" style="38" customWidth="1"/>
    <col min="8955" max="8955" width="15.875" style="38" customWidth="1"/>
    <col min="8956" max="8956" width="10.375" style="38" customWidth="1"/>
    <col min="8957" max="8957" width="32.125" style="38" customWidth="1"/>
    <col min="8958" max="8958" width="13.625" style="38" customWidth="1"/>
    <col min="8959" max="8959" width="7.125" style="38" customWidth="1"/>
    <col min="8960" max="8960" width="4.375" style="38" customWidth="1"/>
    <col min="8961" max="8963" width="9.375" style="38" customWidth="1"/>
    <col min="8964" max="9206" width="9" style="38"/>
    <col min="9207" max="9207" width="1" style="38" customWidth="1"/>
    <col min="9208" max="9208" width="16.25" style="38" customWidth="1"/>
    <col min="9209" max="9209" width="18.625" style="38" customWidth="1"/>
    <col min="9210" max="9210" width="6" style="38" customWidth="1"/>
    <col min="9211" max="9211" width="15.875" style="38" customWidth="1"/>
    <col min="9212" max="9212" width="10.375" style="38" customWidth="1"/>
    <col min="9213" max="9213" width="32.125" style="38" customWidth="1"/>
    <col min="9214" max="9214" width="13.625" style="38" customWidth="1"/>
    <col min="9215" max="9215" width="7.125" style="38" customWidth="1"/>
    <col min="9216" max="9216" width="4.375" style="38" customWidth="1"/>
    <col min="9217" max="9219" width="9.375" style="38" customWidth="1"/>
    <col min="9220" max="9462" width="9" style="38"/>
    <col min="9463" max="9463" width="1" style="38" customWidth="1"/>
    <col min="9464" max="9464" width="16.25" style="38" customWidth="1"/>
    <col min="9465" max="9465" width="18.625" style="38" customWidth="1"/>
    <col min="9466" max="9466" width="6" style="38" customWidth="1"/>
    <col min="9467" max="9467" width="15.875" style="38" customWidth="1"/>
    <col min="9468" max="9468" width="10.375" style="38" customWidth="1"/>
    <col min="9469" max="9469" width="32.125" style="38" customWidth="1"/>
    <col min="9470" max="9470" width="13.625" style="38" customWidth="1"/>
    <col min="9471" max="9471" width="7.125" style="38" customWidth="1"/>
    <col min="9472" max="9472" width="4.375" style="38" customWidth="1"/>
    <col min="9473" max="9475" width="9.375" style="38" customWidth="1"/>
    <col min="9476" max="9718" width="9" style="38"/>
    <col min="9719" max="9719" width="1" style="38" customWidth="1"/>
    <col min="9720" max="9720" width="16.25" style="38" customWidth="1"/>
    <col min="9721" max="9721" width="18.625" style="38" customWidth="1"/>
    <col min="9722" max="9722" width="6" style="38" customWidth="1"/>
    <col min="9723" max="9723" width="15.875" style="38" customWidth="1"/>
    <col min="9724" max="9724" width="10.375" style="38" customWidth="1"/>
    <col min="9725" max="9725" width="32.125" style="38" customWidth="1"/>
    <col min="9726" max="9726" width="13.625" style="38" customWidth="1"/>
    <col min="9727" max="9727" width="7.125" style="38" customWidth="1"/>
    <col min="9728" max="9728" width="4.375" style="38" customWidth="1"/>
    <col min="9729" max="9731" width="9.375" style="38" customWidth="1"/>
    <col min="9732" max="9974" width="9" style="38"/>
    <col min="9975" max="9975" width="1" style="38" customWidth="1"/>
    <col min="9976" max="9976" width="16.25" style="38" customWidth="1"/>
    <col min="9977" max="9977" width="18.625" style="38" customWidth="1"/>
    <col min="9978" max="9978" width="6" style="38" customWidth="1"/>
    <col min="9979" max="9979" width="15.875" style="38" customWidth="1"/>
    <col min="9980" max="9980" width="10.375" style="38" customWidth="1"/>
    <col min="9981" max="9981" width="32.125" style="38" customWidth="1"/>
    <col min="9982" max="9982" width="13.625" style="38" customWidth="1"/>
    <col min="9983" max="9983" width="7.125" style="38" customWidth="1"/>
    <col min="9984" max="9984" width="4.375" style="38" customWidth="1"/>
    <col min="9985" max="9987" width="9.375" style="38" customWidth="1"/>
    <col min="9988" max="10230" width="9" style="38"/>
    <col min="10231" max="10231" width="1" style="38" customWidth="1"/>
    <col min="10232" max="10232" width="16.25" style="38" customWidth="1"/>
    <col min="10233" max="10233" width="18.625" style="38" customWidth="1"/>
    <col min="10234" max="10234" width="6" style="38" customWidth="1"/>
    <col min="10235" max="10235" width="15.875" style="38" customWidth="1"/>
    <col min="10236" max="10236" width="10.375" style="38" customWidth="1"/>
    <col min="10237" max="10237" width="32.125" style="38" customWidth="1"/>
    <col min="10238" max="10238" width="13.625" style="38" customWidth="1"/>
    <col min="10239" max="10239" width="7.125" style="38" customWidth="1"/>
    <col min="10240" max="10240" width="4.375" style="38" customWidth="1"/>
    <col min="10241" max="10243" width="9.375" style="38" customWidth="1"/>
    <col min="10244" max="10486" width="9" style="38"/>
    <col min="10487" max="10487" width="1" style="38" customWidth="1"/>
    <col min="10488" max="10488" width="16.25" style="38" customWidth="1"/>
    <col min="10489" max="10489" width="18.625" style="38" customWidth="1"/>
    <col min="10490" max="10490" width="6" style="38" customWidth="1"/>
    <col min="10491" max="10491" width="15.875" style="38" customWidth="1"/>
    <col min="10492" max="10492" width="10.375" style="38" customWidth="1"/>
    <col min="10493" max="10493" width="32.125" style="38" customWidth="1"/>
    <col min="10494" max="10494" width="13.625" style="38" customWidth="1"/>
    <col min="10495" max="10495" width="7.125" style="38" customWidth="1"/>
    <col min="10496" max="10496" width="4.375" style="38" customWidth="1"/>
    <col min="10497" max="10499" width="9.375" style="38" customWidth="1"/>
    <col min="10500" max="10742" width="9" style="38"/>
    <col min="10743" max="10743" width="1" style="38" customWidth="1"/>
    <col min="10744" max="10744" width="16.25" style="38" customWidth="1"/>
    <col min="10745" max="10745" width="18.625" style="38" customWidth="1"/>
    <col min="10746" max="10746" width="6" style="38" customWidth="1"/>
    <col min="10747" max="10747" width="15.875" style="38" customWidth="1"/>
    <col min="10748" max="10748" width="10.375" style="38" customWidth="1"/>
    <col min="10749" max="10749" width="32.125" style="38" customWidth="1"/>
    <col min="10750" max="10750" width="13.625" style="38" customWidth="1"/>
    <col min="10751" max="10751" width="7.125" style="38" customWidth="1"/>
    <col min="10752" max="10752" width="4.375" style="38" customWidth="1"/>
    <col min="10753" max="10755" width="9.375" style="38" customWidth="1"/>
    <col min="10756" max="10998" width="9" style="38"/>
    <col min="10999" max="10999" width="1" style="38" customWidth="1"/>
    <col min="11000" max="11000" width="16.25" style="38" customWidth="1"/>
    <col min="11001" max="11001" width="18.625" style="38" customWidth="1"/>
    <col min="11002" max="11002" width="6" style="38" customWidth="1"/>
    <col min="11003" max="11003" width="15.875" style="38" customWidth="1"/>
    <col min="11004" max="11004" width="10.375" style="38" customWidth="1"/>
    <col min="11005" max="11005" width="32.125" style="38" customWidth="1"/>
    <col min="11006" max="11006" width="13.625" style="38" customWidth="1"/>
    <col min="11007" max="11007" width="7.125" style="38" customWidth="1"/>
    <col min="11008" max="11008" width="4.375" style="38" customWidth="1"/>
    <col min="11009" max="11011" width="9.375" style="38" customWidth="1"/>
    <col min="11012" max="11254" width="9" style="38"/>
    <col min="11255" max="11255" width="1" style="38" customWidth="1"/>
    <col min="11256" max="11256" width="16.25" style="38" customWidth="1"/>
    <col min="11257" max="11257" width="18.625" style="38" customWidth="1"/>
    <col min="11258" max="11258" width="6" style="38" customWidth="1"/>
    <col min="11259" max="11259" width="15.875" style="38" customWidth="1"/>
    <col min="11260" max="11260" width="10.375" style="38" customWidth="1"/>
    <col min="11261" max="11261" width="32.125" style="38" customWidth="1"/>
    <col min="11262" max="11262" width="13.625" style="38" customWidth="1"/>
    <col min="11263" max="11263" width="7.125" style="38" customWidth="1"/>
    <col min="11264" max="11264" width="4.375" style="38" customWidth="1"/>
    <col min="11265" max="11267" width="9.375" style="38" customWidth="1"/>
    <col min="11268" max="11510" width="9" style="38"/>
    <col min="11511" max="11511" width="1" style="38" customWidth="1"/>
    <col min="11512" max="11512" width="16.25" style="38" customWidth="1"/>
    <col min="11513" max="11513" width="18.625" style="38" customWidth="1"/>
    <col min="11514" max="11514" width="6" style="38" customWidth="1"/>
    <col min="11515" max="11515" width="15.875" style="38" customWidth="1"/>
    <col min="11516" max="11516" width="10.375" style="38" customWidth="1"/>
    <col min="11517" max="11517" width="32.125" style="38" customWidth="1"/>
    <col min="11518" max="11518" width="13.625" style="38" customWidth="1"/>
    <col min="11519" max="11519" width="7.125" style="38" customWidth="1"/>
    <col min="11520" max="11520" width="4.375" style="38" customWidth="1"/>
    <col min="11521" max="11523" width="9.375" style="38" customWidth="1"/>
    <col min="11524" max="11766" width="9" style="38"/>
    <col min="11767" max="11767" width="1" style="38" customWidth="1"/>
    <col min="11768" max="11768" width="16.25" style="38" customWidth="1"/>
    <col min="11769" max="11769" width="18.625" style="38" customWidth="1"/>
    <col min="11770" max="11770" width="6" style="38" customWidth="1"/>
    <col min="11771" max="11771" width="15.875" style="38" customWidth="1"/>
    <col min="11772" max="11772" width="10.375" style="38" customWidth="1"/>
    <col min="11773" max="11773" width="32.125" style="38" customWidth="1"/>
    <col min="11774" max="11774" width="13.625" style="38" customWidth="1"/>
    <col min="11775" max="11775" width="7.125" style="38" customWidth="1"/>
    <col min="11776" max="11776" width="4.375" style="38" customWidth="1"/>
    <col min="11777" max="11779" width="9.375" style="38" customWidth="1"/>
    <col min="11780" max="12022" width="9" style="38"/>
    <col min="12023" max="12023" width="1" style="38" customWidth="1"/>
    <col min="12024" max="12024" width="16.25" style="38" customWidth="1"/>
    <col min="12025" max="12025" width="18.625" style="38" customWidth="1"/>
    <col min="12026" max="12026" width="6" style="38" customWidth="1"/>
    <col min="12027" max="12027" width="15.875" style="38" customWidth="1"/>
    <col min="12028" max="12028" width="10.375" style="38" customWidth="1"/>
    <col min="12029" max="12029" width="32.125" style="38" customWidth="1"/>
    <col min="12030" max="12030" width="13.625" style="38" customWidth="1"/>
    <col min="12031" max="12031" width="7.125" style="38" customWidth="1"/>
    <col min="12032" max="12032" width="4.375" style="38" customWidth="1"/>
    <col min="12033" max="12035" width="9.375" style="38" customWidth="1"/>
    <col min="12036" max="12278" width="9" style="38"/>
    <col min="12279" max="12279" width="1" style="38" customWidth="1"/>
    <col min="12280" max="12280" width="16.25" style="38" customWidth="1"/>
    <col min="12281" max="12281" width="18.625" style="38" customWidth="1"/>
    <col min="12282" max="12282" width="6" style="38" customWidth="1"/>
    <col min="12283" max="12283" width="15.875" style="38" customWidth="1"/>
    <col min="12284" max="12284" width="10.375" style="38" customWidth="1"/>
    <col min="12285" max="12285" width="32.125" style="38" customWidth="1"/>
    <col min="12286" max="12286" width="13.625" style="38" customWidth="1"/>
    <col min="12287" max="12287" width="7.125" style="38" customWidth="1"/>
    <col min="12288" max="12288" width="4.375" style="38" customWidth="1"/>
    <col min="12289" max="12291" width="9.375" style="38" customWidth="1"/>
    <col min="12292" max="12534" width="9" style="38"/>
    <col min="12535" max="12535" width="1" style="38" customWidth="1"/>
    <col min="12536" max="12536" width="16.25" style="38" customWidth="1"/>
    <col min="12537" max="12537" width="18.625" style="38" customWidth="1"/>
    <col min="12538" max="12538" width="6" style="38" customWidth="1"/>
    <col min="12539" max="12539" width="15.875" style="38" customWidth="1"/>
    <col min="12540" max="12540" width="10.375" style="38" customWidth="1"/>
    <col min="12541" max="12541" width="32.125" style="38" customWidth="1"/>
    <col min="12542" max="12542" width="13.625" style="38" customWidth="1"/>
    <col min="12543" max="12543" width="7.125" style="38" customWidth="1"/>
    <col min="12544" max="12544" width="4.375" style="38" customWidth="1"/>
    <col min="12545" max="12547" width="9.375" style="38" customWidth="1"/>
    <col min="12548" max="12790" width="9" style="38"/>
    <col min="12791" max="12791" width="1" style="38" customWidth="1"/>
    <col min="12792" max="12792" width="16.25" style="38" customWidth="1"/>
    <col min="12793" max="12793" width="18.625" style="38" customWidth="1"/>
    <col min="12794" max="12794" width="6" style="38" customWidth="1"/>
    <col min="12795" max="12795" width="15.875" style="38" customWidth="1"/>
    <col min="12796" max="12796" width="10.375" style="38" customWidth="1"/>
    <col min="12797" max="12797" width="32.125" style="38" customWidth="1"/>
    <col min="12798" max="12798" width="13.625" style="38" customWidth="1"/>
    <col min="12799" max="12799" width="7.125" style="38" customWidth="1"/>
    <col min="12800" max="12800" width="4.375" style="38" customWidth="1"/>
    <col min="12801" max="12803" width="9.375" style="38" customWidth="1"/>
    <col min="12804" max="13046" width="9" style="38"/>
    <col min="13047" max="13047" width="1" style="38" customWidth="1"/>
    <col min="13048" max="13048" width="16.25" style="38" customWidth="1"/>
    <col min="13049" max="13049" width="18.625" style="38" customWidth="1"/>
    <col min="13050" max="13050" width="6" style="38" customWidth="1"/>
    <col min="13051" max="13051" width="15.875" style="38" customWidth="1"/>
    <col min="13052" max="13052" width="10.375" style="38" customWidth="1"/>
    <col min="13053" max="13053" width="32.125" style="38" customWidth="1"/>
    <col min="13054" max="13054" width="13.625" style="38" customWidth="1"/>
    <col min="13055" max="13055" width="7.125" style="38" customWidth="1"/>
    <col min="13056" max="13056" width="4.375" style="38" customWidth="1"/>
    <col min="13057" max="13059" width="9.375" style="38" customWidth="1"/>
    <col min="13060" max="13302" width="9" style="38"/>
    <col min="13303" max="13303" width="1" style="38" customWidth="1"/>
    <col min="13304" max="13304" width="16.25" style="38" customWidth="1"/>
    <col min="13305" max="13305" width="18.625" style="38" customWidth="1"/>
    <col min="13306" max="13306" width="6" style="38" customWidth="1"/>
    <col min="13307" max="13307" width="15.875" style="38" customWidth="1"/>
    <col min="13308" max="13308" width="10.375" style="38" customWidth="1"/>
    <col min="13309" max="13309" width="32.125" style="38" customWidth="1"/>
    <col min="13310" max="13310" width="13.625" style="38" customWidth="1"/>
    <col min="13311" max="13311" width="7.125" style="38" customWidth="1"/>
    <col min="13312" max="13312" width="4.375" style="38" customWidth="1"/>
    <col min="13313" max="13315" width="9.375" style="38" customWidth="1"/>
    <col min="13316" max="13558" width="9" style="38"/>
    <col min="13559" max="13559" width="1" style="38" customWidth="1"/>
    <col min="13560" max="13560" width="16.25" style="38" customWidth="1"/>
    <col min="13561" max="13561" width="18.625" style="38" customWidth="1"/>
    <col min="13562" max="13562" width="6" style="38" customWidth="1"/>
    <col min="13563" max="13563" width="15.875" style="38" customWidth="1"/>
    <col min="13564" max="13564" width="10.375" style="38" customWidth="1"/>
    <col min="13565" max="13565" width="32.125" style="38" customWidth="1"/>
    <col min="13566" max="13566" width="13.625" style="38" customWidth="1"/>
    <col min="13567" max="13567" width="7.125" style="38" customWidth="1"/>
    <col min="13568" max="13568" width="4.375" style="38" customWidth="1"/>
    <col min="13569" max="13571" width="9.375" style="38" customWidth="1"/>
    <col min="13572" max="13814" width="9" style="38"/>
    <col min="13815" max="13815" width="1" style="38" customWidth="1"/>
    <col min="13816" max="13816" width="16.25" style="38" customWidth="1"/>
    <col min="13817" max="13817" width="18.625" style="38" customWidth="1"/>
    <col min="13818" max="13818" width="6" style="38" customWidth="1"/>
    <col min="13819" max="13819" width="15.875" style="38" customWidth="1"/>
    <col min="13820" max="13820" width="10.375" style="38" customWidth="1"/>
    <col min="13821" max="13821" width="32.125" style="38" customWidth="1"/>
    <col min="13822" max="13822" width="13.625" style="38" customWidth="1"/>
    <col min="13823" max="13823" width="7.125" style="38" customWidth="1"/>
    <col min="13824" max="13824" width="4.375" style="38" customWidth="1"/>
    <col min="13825" max="13827" width="9.375" style="38" customWidth="1"/>
    <col min="13828" max="14070" width="9" style="38"/>
    <col min="14071" max="14071" width="1" style="38" customWidth="1"/>
    <col min="14072" max="14072" width="16.25" style="38" customWidth="1"/>
    <col min="14073" max="14073" width="18.625" style="38" customWidth="1"/>
    <col min="14074" max="14074" width="6" style="38" customWidth="1"/>
    <col min="14075" max="14075" width="15.875" style="38" customWidth="1"/>
    <col min="14076" max="14076" width="10.375" style="38" customWidth="1"/>
    <col min="14077" max="14077" width="32.125" style="38" customWidth="1"/>
    <col min="14078" max="14078" width="13.625" style="38" customWidth="1"/>
    <col min="14079" max="14079" width="7.125" style="38" customWidth="1"/>
    <col min="14080" max="14080" width="4.375" style="38" customWidth="1"/>
    <col min="14081" max="14083" width="9.375" style="38" customWidth="1"/>
    <col min="14084" max="14326" width="9" style="38"/>
    <col min="14327" max="14327" width="1" style="38" customWidth="1"/>
    <col min="14328" max="14328" width="16.25" style="38" customWidth="1"/>
    <col min="14329" max="14329" width="18.625" style="38" customWidth="1"/>
    <col min="14330" max="14330" width="6" style="38" customWidth="1"/>
    <col min="14331" max="14331" width="15.875" style="38" customWidth="1"/>
    <col min="14332" max="14332" width="10.375" style="38" customWidth="1"/>
    <col min="14333" max="14333" width="32.125" style="38" customWidth="1"/>
    <col min="14334" max="14334" width="13.625" style="38" customWidth="1"/>
    <col min="14335" max="14335" width="7.125" style="38" customWidth="1"/>
    <col min="14336" max="14336" width="4.375" style="38" customWidth="1"/>
    <col min="14337" max="14339" width="9.375" style="38" customWidth="1"/>
    <col min="14340" max="14582" width="9" style="38"/>
    <col min="14583" max="14583" width="1" style="38" customWidth="1"/>
    <col min="14584" max="14584" width="16.25" style="38" customWidth="1"/>
    <col min="14585" max="14585" width="18.625" style="38" customWidth="1"/>
    <col min="14586" max="14586" width="6" style="38" customWidth="1"/>
    <col min="14587" max="14587" width="15.875" style="38" customWidth="1"/>
    <col min="14588" max="14588" width="10.375" style="38" customWidth="1"/>
    <col min="14589" max="14589" width="32.125" style="38" customWidth="1"/>
    <col min="14590" max="14590" width="13.625" style="38" customWidth="1"/>
    <col min="14591" max="14591" width="7.125" style="38" customWidth="1"/>
    <col min="14592" max="14592" width="4.375" style="38" customWidth="1"/>
    <col min="14593" max="14595" width="9.375" style="38" customWidth="1"/>
    <col min="14596" max="14838" width="9" style="38"/>
    <col min="14839" max="14839" width="1" style="38" customWidth="1"/>
    <col min="14840" max="14840" width="16.25" style="38" customWidth="1"/>
    <col min="14841" max="14841" width="18.625" style="38" customWidth="1"/>
    <col min="14842" max="14842" width="6" style="38" customWidth="1"/>
    <col min="14843" max="14843" width="15.875" style="38" customWidth="1"/>
    <col min="14844" max="14844" width="10.375" style="38" customWidth="1"/>
    <col min="14845" max="14845" width="32.125" style="38" customWidth="1"/>
    <col min="14846" max="14846" width="13.625" style="38" customWidth="1"/>
    <col min="14847" max="14847" width="7.125" style="38" customWidth="1"/>
    <col min="14848" max="14848" width="4.375" style="38" customWidth="1"/>
    <col min="14849" max="14851" width="9.375" style="38" customWidth="1"/>
    <col min="14852" max="15094" width="9" style="38"/>
    <col min="15095" max="15095" width="1" style="38" customWidth="1"/>
    <col min="15096" max="15096" width="16.25" style="38" customWidth="1"/>
    <col min="15097" max="15097" width="18.625" style="38" customWidth="1"/>
    <col min="15098" max="15098" width="6" style="38" customWidth="1"/>
    <col min="15099" max="15099" width="15.875" style="38" customWidth="1"/>
    <col min="15100" max="15100" width="10.375" style="38" customWidth="1"/>
    <col min="15101" max="15101" width="32.125" style="38" customWidth="1"/>
    <col min="15102" max="15102" width="13.625" style="38" customWidth="1"/>
    <col min="15103" max="15103" width="7.125" style="38" customWidth="1"/>
    <col min="15104" max="15104" width="4.375" style="38" customWidth="1"/>
    <col min="15105" max="15107" width="9.375" style="38" customWidth="1"/>
    <col min="15108" max="15350" width="9" style="38"/>
    <col min="15351" max="15351" width="1" style="38" customWidth="1"/>
    <col min="15352" max="15352" width="16.25" style="38" customWidth="1"/>
    <col min="15353" max="15353" width="18.625" style="38" customWidth="1"/>
    <col min="15354" max="15354" width="6" style="38" customWidth="1"/>
    <col min="15355" max="15355" width="15.875" style="38" customWidth="1"/>
    <col min="15356" max="15356" width="10.375" style="38" customWidth="1"/>
    <col min="15357" max="15357" width="32.125" style="38" customWidth="1"/>
    <col min="15358" max="15358" width="13.625" style="38" customWidth="1"/>
    <col min="15359" max="15359" width="7.125" style="38" customWidth="1"/>
    <col min="15360" max="15360" width="4.375" style="38" customWidth="1"/>
    <col min="15361" max="15363" width="9.375" style="38" customWidth="1"/>
    <col min="15364" max="15606" width="9" style="38"/>
    <col min="15607" max="15607" width="1" style="38" customWidth="1"/>
    <col min="15608" max="15608" width="16.25" style="38" customWidth="1"/>
    <col min="15609" max="15609" width="18.625" style="38" customWidth="1"/>
    <col min="15610" max="15610" width="6" style="38" customWidth="1"/>
    <col min="15611" max="15611" width="15.875" style="38" customWidth="1"/>
    <col min="15612" max="15612" width="10.375" style="38" customWidth="1"/>
    <col min="15613" max="15613" width="32.125" style="38" customWidth="1"/>
    <col min="15614" max="15614" width="13.625" style="38" customWidth="1"/>
    <col min="15615" max="15615" width="7.125" style="38" customWidth="1"/>
    <col min="15616" max="15616" width="4.375" style="38" customWidth="1"/>
    <col min="15617" max="15619" width="9.375" style="38" customWidth="1"/>
    <col min="15620" max="15862" width="9" style="38"/>
    <col min="15863" max="15863" width="1" style="38" customWidth="1"/>
    <col min="15864" max="15864" width="16.25" style="38" customWidth="1"/>
    <col min="15865" max="15865" width="18.625" style="38" customWidth="1"/>
    <col min="15866" max="15866" width="6" style="38" customWidth="1"/>
    <col min="15867" max="15867" width="15.875" style="38" customWidth="1"/>
    <col min="15868" max="15868" width="10.375" style="38" customWidth="1"/>
    <col min="15869" max="15869" width="32.125" style="38" customWidth="1"/>
    <col min="15870" max="15870" width="13.625" style="38" customWidth="1"/>
    <col min="15871" max="15871" width="7.125" style="38" customWidth="1"/>
    <col min="15872" max="15872" width="4.375" style="38" customWidth="1"/>
    <col min="15873" max="15875" width="9.375" style="38" customWidth="1"/>
    <col min="15876" max="16118" width="9" style="38"/>
    <col min="16119" max="16119" width="1" style="38" customWidth="1"/>
    <col min="16120" max="16120" width="16.25" style="38" customWidth="1"/>
    <col min="16121" max="16121" width="18.625" style="38" customWidth="1"/>
    <col min="16122" max="16122" width="6" style="38" customWidth="1"/>
    <col min="16123" max="16123" width="15.875" style="38" customWidth="1"/>
    <col min="16124" max="16124" width="10.375" style="38" customWidth="1"/>
    <col min="16125" max="16125" width="32.125" style="38" customWidth="1"/>
    <col min="16126" max="16126" width="13.625" style="38" customWidth="1"/>
    <col min="16127" max="16127" width="7.125" style="38" customWidth="1"/>
    <col min="16128" max="16128" width="4.375" style="38" customWidth="1"/>
    <col min="16129" max="16131" width="9.375" style="38" customWidth="1"/>
    <col min="16132" max="16384" width="9" style="38"/>
  </cols>
  <sheetData>
    <row r="1" spans="2:11" ht="61.5" customHeight="1" x14ac:dyDescent="0.2">
      <c r="F1" s="373" t="s">
        <v>87</v>
      </c>
      <c r="K1" s="374" t="s">
        <v>156</v>
      </c>
    </row>
    <row r="2" spans="2:11" ht="69.75" customHeight="1" x14ac:dyDescent="0.2">
      <c r="C2" s="42" t="s">
        <v>68</v>
      </c>
      <c r="D2" s="424" t="s">
        <v>69</v>
      </c>
      <c r="E2" s="424"/>
      <c r="G2" s="54"/>
    </row>
    <row r="3" spans="2:11" ht="48" customHeight="1" x14ac:dyDescent="0.2">
      <c r="C3" s="42" t="s">
        <v>88</v>
      </c>
      <c r="D3" s="425" t="s">
        <v>112</v>
      </c>
      <c r="E3" s="425"/>
      <c r="F3" s="425"/>
      <c r="G3" s="425"/>
    </row>
    <row r="4" spans="2:11" ht="29.25" customHeight="1" x14ac:dyDescent="0.2">
      <c r="B4" s="34"/>
      <c r="D4" s="425"/>
      <c r="E4" s="425"/>
      <c r="F4" s="425"/>
      <c r="G4" s="425"/>
    </row>
    <row r="5" spans="2:11" ht="4.5" customHeight="1" x14ac:dyDescent="0.25">
      <c r="B5" s="426"/>
      <c r="C5" s="426"/>
      <c r="D5" s="426"/>
      <c r="E5" s="426"/>
      <c r="G5" s="56">
        <v>0.4</v>
      </c>
    </row>
    <row r="6" spans="2:11" ht="57" customHeight="1" x14ac:dyDescent="0.2">
      <c r="C6" s="82" t="s">
        <v>91</v>
      </c>
      <c r="D6" s="83" t="s">
        <v>92</v>
      </c>
      <c r="E6" s="84" t="s">
        <v>97</v>
      </c>
      <c r="F6" s="84" t="s">
        <v>98</v>
      </c>
      <c r="G6" s="85" t="s">
        <v>99</v>
      </c>
      <c r="H6" s="86" t="s">
        <v>100</v>
      </c>
      <c r="I6" s="86" t="s">
        <v>101</v>
      </c>
      <c r="J6" s="86" t="s">
        <v>102</v>
      </c>
      <c r="K6" s="87" t="s">
        <v>103</v>
      </c>
    </row>
    <row r="7" spans="2:11" ht="81" customHeight="1" x14ac:dyDescent="0.2">
      <c r="B7" s="427" t="s">
        <v>90</v>
      </c>
      <c r="C7" s="290">
        <v>42495</v>
      </c>
      <c r="D7" s="291">
        <v>42504</v>
      </c>
      <c r="E7" s="88" t="s">
        <v>93</v>
      </c>
      <c r="F7" s="393" t="s">
        <v>95</v>
      </c>
      <c r="G7" s="89">
        <v>1500</v>
      </c>
      <c r="H7" s="89">
        <v>26.4</v>
      </c>
      <c r="I7" s="305"/>
      <c r="J7" s="89">
        <v>1526.4</v>
      </c>
      <c r="K7" s="90">
        <v>1043</v>
      </c>
    </row>
    <row r="8" spans="2:11" ht="53.25" customHeight="1" x14ac:dyDescent="0.2">
      <c r="B8" s="427"/>
      <c r="C8" s="290">
        <v>43008</v>
      </c>
      <c r="D8" s="291">
        <v>43020</v>
      </c>
      <c r="E8" s="88" t="s">
        <v>94</v>
      </c>
      <c r="F8" s="393" t="s">
        <v>96</v>
      </c>
      <c r="G8" s="89">
        <v>478</v>
      </c>
      <c r="H8" s="89"/>
      <c r="I8" s="305">
        <v>5.74</v>
      </c>
      <c r="J8" s="89">
        <v>483.74</v>
      </c>
      <c r="K8" s="90">
        <v>880</v>
      </c>
    </row>
    <row r="9" spans="2:11" ht="13.15" hidden="1" x14ac:dyDescent="0.25">
      <c r="C9" s="117"/>
      <c r="D9" s="118"/>
      <c r="E9" s="310"/>
      <c r="F9" s="310"/>
      <c r="G9" s="311"/>
      <c r="H9" s="312"/>
      <c r="I9" s="312"/>
      <c r="J9" s="311"/>
      <c r="K9" s="119"/>
    </row>
    <row r="10" spans="2:11" ht="13.15" hidden="1" x14ac:dyDescent="0.25">
      <c r="C10" s="117"/>
      <c r="D10" s="118"/>
      <c r="E10" s="310"/>
      <c r="F10" s="310"/>
      <c r="G10" s="311"/>
      <c r="H10" s="312"/>
      <c r="I10" s="312"/>
      <c r="J10" s="311"/>
      <c r="K10" s="119"/>
    </row>
    <row r="11" spans="2:11" ht="39.6" hidden="1" x14ac:dyDescent="0.25">
      <c r="C11" s="306" t="s">
        <v>46</v>
      </c>
      <c r="D11" s="240" t="s">
        <v>47</v>
      </c>
      <c r="E11" s="241" t="s">
        <v>58</v>
      </c>
      <c r="F11" s="241" t="s">
        <v>59</v>
      </c>
      <c r="G11" s="307" t="s">
        <v>64</v>
      </c>
      <c r="H11" s="308" t="s">
        <v>61</v>
      </c>
      <c r="I11" s="308" t="s">
        <v>63</v>
      </c>
      <c r="J11" s="308" t="s">
        <v>4</v>
      </c>
      <c r="K11" s="164" t="s">
        <v>13</v>
      </c>
    </row>
    <row r="12" spans="2:11" x14ac:dyDescent="0.2">
      <c r="C12" s="161"/>
      <c r="D12" s="161"/>
      <c r="E12" s="91"/>
      <c r="F12" s="91"/>
      <c r="G12" s="114"/>
      <c r="H12" s="79">
        <f>IF(ISBLANK(GSOperating[[#This Row],[UnrecoverableNotCalc]]), GSOperating[[#This Row],[Cost(ExclHST)]]*0.0176, 0)</f>
        <v>0</v>
      </c>
      <c r="I12" s="115"/>
      <c r="J12" s="79">
        <f>GSOperating[Cost(ExclHST)]+GSOperating[Unrecoverable]+GSOperating[[#This Row],[UnrecoverableNotCalc]]</f>
        <v>0</v>
      </c>
      <c r="K12" s="367"/>
    </row>
    <row r="13" spans="2:11" ht="13.15" x14ac:dyDescent="0.25">
      <c r="C13" s="161"/>
      <c r="D13" s="162"/>
      <c r="E13" s="91"/>
      <c r="F13" s="91"/>
      <c r="G13" s="114"/>
      <c r="H13" s="79">
        <f>IF(ISBLANK(GSOperating[[#This Row],[UnrecoverableNotCalc]]), GSOperating[[#This Row],[Cost(ExclHST)]]*0.0176, 0)</f>
        <v>0</v>
      </c>
      <c r="I13" s="115"/>
      <c r="J13" s="116">
        <f>GSOperating[Cost(ExclHST)]+GSOperating[Unrecoverable]+GSOperating[[#This Row],[UnrecoverableNotCalc]]</f>
        <v>0</v>
      </c>
      <c r="K13" s="367"/>
    </row>
    <row r="14" spans="2:11" ht="13.15" x14ac:dyDescent="0.25">
      <c r="C14" s="161"/>
      <c r="D14" s="162"/>
      <c r="E14" s="91"/>
      <c r="F14" s="91"/>
      <c r="G14" s="114"/>
      <c r="H14" s="79">
        <f>IF(ISBLANK(GSOperating[[#This Row],[UnrecoverableNotCalc]]), GSOperating[[#This Row],[Cost(ExclHST)]]*0.0176, 0)</f>
        <v>0</v>
      </c>
      <c r="I14" s="115"/>
      <c r="J14" s="116">
        <f>GSOperating[Cost(ExclHST)]+GSOperating[Unrecoverable]+GSOperating[[#This Row],[UnrecoverableNotCalc]]</f>
        <v>0</v>
      </c>
      <c r="K14" s="367"/>
    </row>
    <row r="15" spans="2:11" ht="13.15" x14ac:dyDescent="0.25">
      <c r="C15" s="161"/>
      <c r="D15" s="162"/>
      <c r="E15" s="91"/>
      <c r="F15" s="91"/>
      <c r="G15" s="114"/>
      <c r="H15" s="79">
        <f>IF(ISBLANK(GSOperating[[#This Row],[UnrecoverableNotCalc]]), GSOperating[[#This Row],[Cost(ExclHST)]]*0.0176, 0)</f>
        <v>0</v>
      </c>
      <c r="I15" s="115"/>
      <c r="J15" s="116">
        <f>GSOperating[Cost(ExclHST)]+GSOperating[Unrecoverable]+GSOperating[[#This Row],[UnrecoverableNotCalc]]</f>
        <v>0</v>
      </c>
      <c r="K15" s="367"/>
    </row>
    <row r="16" spans="2:11" ht="13.15" x14ac:dyDescent="0.25">
      <c r="C16" s="161"/>
      <c r="D16" s="251"/>
      <c r="E16" s="164"/>
      <c r="F16" s="164"/>
      <c r="G16" s="165"/>
      <c r="H16" s="79">
        <f>IF(ISBLANK(GSOperating[[#This Row],[UnrecoverableNotCalc]]), GSOperating[[#This Row],[Cost(ExclHST)]]*0.0176, 0)</f>
        <v>0</v>
      </c>
      <c r="I16" s="115"/>
      <c r="J16" s="116">
        <f>GSOperating[Cost(ExclHST)]+GSOperating[Unrecoverable]+GSOperating[[#This Row],[UnrecoverableNotCalc]]</f>
        <v>0</v>
      </c>
      <c r="K16" s="368"/>
    </row>
    <row r="17" spans="3:11" ht="13.15" x14ac:dyDescent="0.25">
      <c r="C17" s="161"/>
      <c r="D17" s="251"/>
      <c r="E17" s="164"/>
      <c r="F17" s="164"/>
      <c r="G17" s="165"/>
      <c r="H17" s="79">
        <f>IF(ISBLANK(GSOperating[[#This Row],[UnrecoverableNotCalc]]), GSOperating[[#This Row],[Cost(ExclHST)]]*0.0176, 0)</f>
        <v>0</v>
      </c>
      <c r="I17" s="115"/>
      <c r="J17" s="116">
        <f>GSOperating[Cost(ExclHST)]+GSOperating[Unrecoverable]+GSOperating[[#This Row],[UnrecoverableNotCalc]]</f>
        <v>0</v>
      </c>
      <c r="K17" s="368"/>
    </row>
    <row r="18" spans="3:11" x14ac:dyDescent="0.2">
      <c r="C18" s="161"/>
      <c r="D18" s="251"/>
      <c r="E18" s="164"/>
      <c r="F18" s="164"/>
      <c r="G18" s="165"/>
      <c r="H18" s="79">
        <f>IF(ISBLANK(GSOperating[[#This Row],[UnrecoverableNotCalc]]), GSOperating[[#This Row],[Cost(ExclHST)]]*0.0176, 0)</f>
        <v>0</v>
      </c>
      <c r="I18" s="115"/>
      <c r="J18" s="116">
        <f>GSOperating[Cost(ExclHST)]+GSOperating[Unrecoverable]+GSOperating[[#This Row],[UnrecoverableNotCalc]]</f>
        <v>0</v>
      </c>
      <c r="K18" s="368"/>
    </row>
    <row r="19" spans="3:11" ht="13.15" x14ac:dyDescent="0.25">
      <c r="C19" s="161"/>
      <c r="D19" s="251"/>
      <c r="E19" s="164"/>
      <c r="F19" s="164"/>
      <c r="G19" s="165"/>
      <c r="H19" s="79">
        <f>IF(ISBLANK(GSOperating[[#This Row],[UnrecoverableNotCalc]]), GSOperating[[#This Row],[Cost(ExclHST)]]*0.0176, 0)</f>
        <v>0</v>
      </c>
      <c r="I19" s="115"/>
      <c r="J19" s="116">
        <f>GSOperating[Cost(ExclHST)]+GSOperating[Unrecoverable]+GSOperating[[#This Row],[UnrecoverableNotCalc]]</f>
        <v>0</v>
      </c>
      <c r="K19" s="368"/>
    </row>
    <row r="20" spans="3:11" ht="13.15" x14ac:dyDescent="0.25">
      <c r="C20" s="161"/>
      <c r="D20" s="251"/>
      <c r="E20" s="164"/>
      <c r="F20" s="164"/>
      <c r="G20" s="165"/>
      <c r="H20" s="79">
        <f>IF(ISBLANK(GSOperating[[#This Row],[UnrecoverableNotCalc]]), GSOperating[[#This Row],[Cost(ExclHST)]]*0.0176, 0)</f>
        <v>0</v>
      </c>
      <c r="I20" s="115"/>
      <c r="J20" s="116">
        <f>GSOperating[Cost(ExclHST)]+GSOperating[Unrecoverable]+GSOperating[[#This Row],[UnrecoverableNotCalc]]</f>
        <v>0</v>
      </c>
      <c r="K20" s="368"/>
    </row>
    <row r="21" spans="3:11" ht="13.15" x14ac:dyDescent="0.25">
      <c r="C21" s="161"/>
      <c r="D21" s="251"/>
      <c r="E21" s="164"/>
      <c r="F21" s="164"/>
      <c r="G21" s="165"/>
      <c r="H21" s="79">
        <f>IF(ISBLANK(GSOperating[[#This Row],[UnrecoverableNotCalc]]), GSOperating[[#This Row],[Cost(ExclHST)]]*0.0176, 0)</f>
        <v>0</v>
      </c>
      <c r="I21" s="115"/>
      <c r="J21" s="116">
        <f>GSOperating[Cost(ExclHST)]+GSOperating[Unrecoverable]+GSOperating[[#This Row],[UnrecoverableNotCalc]]</f>
        <v>0</v>
      </c>
      <c r="K21" s="368"/>
    </row>
    <row r="22" spans="3:11" x14ac:dyDescent="0.2">
      <c r="C22" s="161"/>
      <c r="D22" s="251"/>
      <c r="E22" s="164"/>
      <c r="F22" s="164"/>
      <c r="G22" s="165"/>
      <c r="H22" s="79">
        <f>IF(ISBLANK(GSOperating[[#This Row],[UnrecoverableNotCalc]]), GSOperating[[#This Row],[Cost(ExclHST)]]*0.0176, 0)</f>
        <v>0</v>
      </c>
      <c r="I22" s="115"/>
      <c r="J22" s="116">
        <f>GSOperating[Cost(ExclHST)]+GSOperating[Unrecoverable]+GSOperating[[#This Row],[UnrecoverableNotCalc]]</f>
        <v>0</v>
      </c>
      <c r="K22" s="368"/>
    </row>
    <row r="23" spans="3:11" x14ac:dyDescent="0.2">
      <c r="C23" s="161"/>
      <c r="D23" s="251"/>
      <c r="E23" s="164"/>
      <c r="F23" s="164"/>
      <c r="G23" s="165"/>
      <c r="H23" s="116">
        <f>IF(ISBLANK(GSOperating[[#This Row],[UnrecoverableNotCalc]]), GSOperating[[#This Row],[Cost(ExclHST)]]*0.0176, 0)</f>
        <v>0</v>
      </c>
      <c r="I23" s="115"/>
      <c r="J23" s="384">
        <f>GSOperating[Cost(ExclHST)]+GSOperating[Unrecoverable]+GSOperating[[#This Row],[UnrecoverableNotCalc]]</f>
        <v>0</v>
      </c>
      <c r="K23" s="368"/>
    </row>
    <row r="24" spans="3:11" x14ac:dyDescent="0.2">
      <c r="C24" s="161"/>
      <c r="D24" s="251"/>
      <c r="E24" s="164"/>
      <c r="F24" s="164"/>
      <c r="G24" s="165"/>
      <c r="H24" s="116">
        <f>IF(ISBLANK(GSOperating[[#This Row],[UnrecoverableNotCalc]]), GSOperating[[#This Row],[Cost(ExclHST)]]*0.0176, 0)</f>
        <v>0</v>
      </c>
      <c r="I24" s="115"/>
      <c r="J24" s="384">
        <f>GSOperating[Cost(ExclHST)]+GSOperating[Unrecoverable]+GSOperating[[#This Row],[UnrecoverableNotCalc]]</f>
        <v>0</v>
      </c>
      <c r="K24" s="368"/>
    </row>
    <row r="25" spans="3:11" x14ac:dyDescent="0.2">
      <c r="C25" s="161"/>
      <c r="D25" s="251"/>
      <c r="E25" s="164"/>
      <c r="F25" s="164"/>
      <c r="G25" s="165"/>
      <c r="H25" s="116">
        <f>IF(ISBLANK(GSOperating[[#This Row],[UnrecoverableNotCalc]]), GSOperating[[#This Row],[Cost(ExclHST)]]*0.0176, 0)</f>
        <v>0</v>
      </c>
      <c r="I25" s="115"/>
      <c r="J25" s="384">
        <f>GSOperating[Cost(ExclHST)]+GSOperating[Unrecoverable]+GSOperating[[#This Row],[UnrecoverableNotCalc]]</f>
        <v>0</v>
      </c>
      <c r="K25" s="368"/>
    </row>
    <row r="26" spans="3:11" x14ac:dyDescent="0.2">
      <c r="C26" s="161"/>
      <c r="D26" s="251"/>
      <c r="E26" s="164"/>
      <c r="F26" s="164"/>
      <c r="G26" s="165"/>
      <c r="H26" s="116">
        <f>IF(ISBLANK(GSOperating[[#This Row],[UnrecoverableNotCalc]]), GSOperating[[#This Row],[Cost(ExclHST)]]*0.0176, 0)</f>
        <v>0</v>
      </c>
      <c r="I26" s="115"/>
      <c r="J26" s="384">
        <f>GSOperating[Cost(ExclHST)]+GSOperating[Unrecoverable]+GSOperating[[#This Row],[UnrecoverableNotCalc]]</f>
        <v>0</v>
      </c>
      <c r="K26" s="368"/>
    </row>
    <row r="27" spans="3:11" ht="15.75" thickBot="1" x14ac:dyDescent="0.25">
      <c r="C27" s="110"/>
      <c r="D27" s="111"/>
      <c r="F27" s="41" t="s">
        <v>39</v>
      </c>
      <c r="G27" s="121">
        <f>SUM(GSOperating[Cost(ExclHST)])</f>
        <v>0</v>
      </c>
      <c r="H27" s="120">
        <f>SUM(GSOperating[Unrecoverable])</f>
        <v>0</v>
      </c>
      <c r="I27" s="120">
        <f>SUM(GSOperating[Total])</f>
        <v>0</v>
      </c>
    </row>
    <row r="28" spans="3:11" ht="15" thickTop="1" x14ac:dyDescent="0.2">
      <c r="C28" s="112"/>
      <c r="D28" s="109"/>
    </row>
    <row r="29" spans="3:11" x14ac:dyDescent="0.2">
      <c r="C29" s="109"/>
      <c r="D29" s="109"/>
    </row>
  </sheetData>
  <sheetProtection selectLockedCells="1"/>
  <mergeCells count="4">
    <mergeCell ref="D2:E2"/>
    <mergeCell ref="D3:G4"/>
    <mergeCell ref="B5:E5"/>
    <mergeCell ref="B7:B8"/>
  </mergeCells>
  <conditionalFormatting sqref="K12:K26">
    <cfRule type="expression" dxfId="223" priority="1" stopIfTrue="1">
      <formula>$J12=0</formula>
    </cfRule>
    <cfRule type="expression" dxfId="222" priority="3">
      <formula>$K12=0</formula>
    </cfRule>
  </conditionalFormatting>
  <dataValidations xWindow="179" yWindow="615" count="2">
    <dataValidation type="date" allowBlank="1" showErrorMessage="1" errorTitle="Error" error="Please enter a valid date in the format YYYY/MM/DD" sqref="C12:D26">
      <formula1>41640</formula1>
      <formula2>73415</formula2>
    </dataValidation>
    <dataValidation type="decimal" allowBlank="1" showInputMessage="1" showErrorMessage="1" errorTitle="Error" error="Please enter a dollar value" sqref="G12:I26">
      <formula1>0</formula1>
      <formula2>500000000</formula2>
    </dataValidation>
  </dataValidations>
  <pageMargins left="0.25" right="0.25" top="0.875" bottom="0.75" header="0.3" footer="0.3"/>
  <pageSetup paperSize="5" scale="68" fitToHeight="0" orientation="landscape" horizontalDpi="300" verticalDpi="300" r:id="rId1"/>
  <headerFooter>
    <oddHeader>&amp;L&amp;G&amp;C&amp;"Arial,Bold"&amp;18&amp;K000000Goods and Services Operating Costs&amp;R&amp;"-,Bold"Municipal Disaster Recovery Assistance Program</oddHeader>
    <oddFooter>&amp;RPage &amp;P of &amp;N</oddFooter>
  </headerFooter>
  <drawing r:id="rId2"/>
  <legacyDrawingHF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557630"/>
    <pageSetUpPr fitToPage="1"/>
  </sheetPr>
  <dimension ref="B1:L27"/>
  <sheetViews>
    <sheetView showGridLines="0" zoomScale="90" zoomScaleNormal="90" zoomScalePageLayoutView="80" workbookViewId="0">
      <pane ySplit="6" topLeftCell="A7" activePane="bottomLeft" state="frozen"/>
      <selection pane="bottomLeft" activeCell="F19" sqref="F19"/>
    </sheetView>
  </sheetViews>
  <sheetFormatPr defaultRowHeight="12.75" x14ac:dyDescent="0.2"/>
  <cols>
    <col min="1" max="1" width="1" style="38" customWidth="1"/>
    <col min="2" max="2" width="2.625" style="38" customWidth="1"/>
    <col min="3" max="3" width="15" style="38" customWidth="1"/>
    <col min="4" max="4" width="14.375" style="38" customWidth="1"/>
    <col min="5" max="5" width="35" style="38" customWidth="1"/>
    <col min="6" max="6" width="50.875" style="38" customWidth="1"/>
    <col min="7" max="7" width="15.5" style="58" customWidth="1"/>
    <col min="8" max="8" width="16.75" style="38" customWidth="1"/>
    <col min="9" max="9" width="23.5" style="38" customWidth="1"/>
    <col min="10" max="10" width="16.75" style="38" customWidth="1"/>
    <col min="11" max="11" width="14.375" style="38" customWidth="1"/>
    <col min="12" max="249" width="9" style="38"/>
    <col min="250" max="250" width="1" style="38" customWidth="1"/>
    <col min="251" max="251" width="16.25" style="38" customWidth="1"/>
    <col min="252" max="252" width="18.625" style="38" customWidth="1"/>
    <col min="253" max="253" width="6" style="38" customWidth="1"/>
    <col min="254" max="254" width="15.875" style="38" customWidth="1"/>
    <col min="255" max="255" width="10.375" style="38" customWidth="1"/>
    <col min="256" max="256" width="32.125" style="38" customWidth="1"/>
    <col min="257" max="257" width="13.625" style="38" customWidth="1"/>
    <col min="258" max="258" width="7.125" style="38" customWidth="1"/>
    <col min="259" max="259" width="4.375" style="38" customWidth="1"/>
    <col min="260" max="262" width="9.375" style="38" customWidth="1"/>
    <col min="263" max="505" width="9" style="38"/>
    <col min="506" max="506" width="1" style="38" customWidth="1"/>
    <col min="507" max="507" width="16.25" style="38" customWidth="1"/>
    <col min="508" max="508" width="18.625" style="38" customWidth="1"/>
    <col min="509" max="509" width="6" style="38" customWidth="1"/>
    <col min="510" max="510" width="15.875" style="38" customWidth="1"/>
    <col min="511" max="511" width="10.375" style="38" customWidth="1"/>
    <col min="512" max="512" width="32.125" style="38" customWidth="1"/>
    <col min="513" max="513" width="13.625" style="38" customWidth="1"/>
    <col min="514" max="514" width="7.125" style="38" customWidth="1"/>
    <col min="515" max="515" width="4.375" style="38" customWidth="1"/>
    <col min="516" max="518" width="9.375" style="38" customWidth="1"/>
    <col min="519" max="761" width="9" style="38"/>
    <col min="762" max="762" width="1" style="38" customWidth="1"/>
    <col min="763" max="763" width="16.25" style="38" customWidth="1"/>
    <col min="764" max="764" width="18.625" style="38" customWidth="1"/>
    <col min="765" max="765" width="6" style="38" customWidth="1"/>
    <col min="766" max="766" width="15.875" style="38" customWidth="1"/>
    <col min="767" max="767" width="10.375" style="38" customWidth="1"/>
    <col min="768" max="768" width="32.125" style="38" customWidth="1"/>
    <col min="769" max="769" width="13.625" style="38" customWidth="1"/>
    <col min="770" max="770" width="7.125" style="38" customWidth="1"/>
    <col min="771" max="771" width="4.375" style="38" customWidth="1"/>
    <col min="772" max="774" width="9.375" style="38" customWidth="1"/>
    <col min="775" max="1017" width="9" style="38"/>
    <col min="1018" max="1018" width="1" style="38" customWidth="1"/>
    <col min="1019" max="1019" width="16.25" style="38" customWidth="1"/>
    <col min="1020" max="1020" width="18.625" style="38" customWidth="1"/>
    <col min="1021" max="1021" width="6" style="38" customWidth="1"/>
    <col min="1022" max="1022" width="15.875" style="38" customWidth="1"/>
    <col min="1023" max="1023" width="10.375" style="38" customWidth="1"/>
    <col min="1024" max="1024" width="32.125" style="38" customWidth="1"/>
    <col min="1025" max="1025" width="13.625" style="38" customWidth="1"/>
    <col min="1026" max="1026" width="7.125" style="38" customWidth="1"/>
    <col min="1027" max="1027" width="4.375" style="38" customWidth="1"/>
    <col min="1028" max="1030" width="9.375" style="38" customWidth="1"/>
    <col min="1031" max="1273" width="9" style="38"/>
    <col min="1274" max="1274" width="1" style="38" customWidth="1"/>
    <col min="1275" max="1275" width="16.25" style="38" customWidth="1"/>
    <col min="1276" max="1276" width="18.625" style="38" customWidth="1"/>
    <col min="1277" max="1277" width="6" style="38" customWidth="1"/>
    <col min="1278" max="1278" width="15.875" style="38" customWidth="1"/>
    <col min="1279" max="1279" width="10.375" style="38" customWidth="1"/>
    <col min="1280" max="1280" width="32.125" style="38" customWidth="1"/>
    <col min="1281" max="1281" width="13.625" style="38" customWidth="1"/>
    <col min="1282" max="1282" width="7.125" style="38" customWidth="1"/>
    <col min="1283" max="1283" width="4.375" style="38" customWidth="1"/>
    <col min="1284" max="1286" width="9.375" style="38" customWidth="1"/>
    <col min="1287" max="1529" width="9" style="38"/>
    <col min="1530" max="1530" width="1" style="38" customWidth="1"/>
    <col min="1531" max="1531" width="16.25" style="38" customWidth="1"/>
    <col min="1532" max="1532" width="18.625" style="38" customWidth="1"/>
    <col min="1533" max="1533" width="6" style="38" customWidth="1"/>
    <col min="1534" max="1534" width="15.875" style="38" customWidth="1"/>
    <col min="1535" max="1535" width="10.375" style="38" customWidth="1"/>
    <col min="1536" max="1536" width="32.125" style="38" customWidth="1"/>
    <col min="1537" max="1537" width="13.625" style="38" customWidth="1"/>
    <col min="1538" max="1538" width="7.125" style="38" customWidth="1"/>
    <col min="1539" max="1539" width="4.375" style="38" customWidth="1"/>
    <col min="1540" max="1542" width="9.375" style="38" customWidth="1"/>
    <col min="1543" max="1785" width="9" style="38"/>
    <col min="1786" max="1786" width="1" style="38" customWidth="1"/>
    <col min="1787" max="1787" width="16.25" style="38" customWidth="1"/>
    <col min="1788" max="1788" width="18.625" style="38" customWidth="1"/>
    <col min="1789" max="1789" width="6" style="38" customWidth="1"/>
    <col min="1790" max="1790" width="15.875" style="38" customWidth="1"/>
    <col min="1791" max="1791" width="10.375" style="38" customWidth="1"/>
    <col min="1792" max="1792" width="32.125" style="38" customWidth="1"/>
    <col min="1793" max="1793" width="13.625" style="38" customWidth="1"/>
    <col min="1794" max="1794" width="7.125" style="38" customWidth="1"/>
    <col min="1795" max="1795" width="4.375" style="38" customWidth="1"/>
    <col min="1796" max="1798" width="9.375" style="38" customWidth="1"/>
    <col min="1799" max="2041" width="9" style="38"/>
    <col min="2042" max="2042" width="1" style="38" customWidth="1"/>
    <col min="2043" max="2043" width="16.25" style="38" customWidth="1"/>
    <col min="2044" max="2044" width="18.625" style="38" customWidth="1"/>
    <col min="2045" max="2045" width="6" style="38" customWidth="1"/>
    <col min="2046" max="2046" width="15.875" style="38" customWidth="1"/>
    <col min="2047" max="2047" width="10.375" style="38" customWidth="1"/>
    <col min="2048" max="2048" width="32.125" style="38" customWidth="1"/>
    <col min="2049" max="2049" width="13.625" style="38" customWidth="1"/>
    <col min="2050" max="2050" width="7.125" style="38" customWidth="1"/>
    <col min="2051" max="2051" width="4.375" style="38" customWidth="1"/>
    <col min="2052" max="2054" width="9.375" style="38" customWidth="1"/>
    <col min="2055" max="2297" width="9" style="38"/>
    <col min="2298" max="2298" width="1" style="38" customWidth="1"/>
    <col min="2299" max="2299" width="16.25" style="38" customWidth="1"/>
    <col min="2300" max="2300" width="18.625" style="38" customWidth="1"/>
    <col min="2301" max="2301" width="6" style="38" customWidth="1"/>
    <col min="2302" max="2302" width="15.875" style="38" customWidth="1"/>
    <col min="2303" max="2303" width="10.375" style="38" customWidth="1"/>
    <col min="2304" max="2304" width="32.125" style="38" customWidth="1"/>
    <col min="2305" max="2305" width="13.625" style="38" customWidth="1"/>
    <col min="2306" max="2306" width="7.125" style="38" customWidth="1"/>
    <col min="2307" max="2307" width="4.375" style="38" customWidth="1"/>
    <col min="2308" max="2310" width="9.375" style="38" customWidth="1"/>
    <col min="2311" max="2553" width="9" style="38"/>
    <col min="2554" max="2554" width="1" style="38" customWidth="1"/>
    <col min="2555" max="2555" width="16.25" style="38" customWidth="1"/>
    <col min="2556" max="2556" width="18.625" style="38" customWidth="1"/>
    <col min="2557" max="2557" width="6" style="38" customWidth="1"/>
    <col min="2558" max="2558" width="15.875" style="38" customWidth="1"/>
    <col min="2559" max="2559" width="10.375" style="38" customWidth="1"/>
    <col min="2560" max="2560" width="32.125" style="38" customWidth="1"/>
    <col min="2561" max="2561" width="13.625" style="38" customWidth="1"/>
    <col min="2562" max="2562" width="7.125" style="38" customWidth="1"/>
    <col min="2563" max="2563" width="4.375" style="38" customWidth="1"/>
    <col min="2564" max="2566" width="9.375" style="38" customWidth="1"/>
    <col min="2567" max="2809" width="9" style="38"/>
    <col min="2810" max="2810" width="1" style="38" customWidth="1"/>
    <col min="2811" max="2811" width="16.25" style="38" customWidth="1"/>
    <col min="2812" max="2812" width="18.625" style="38" customWidth="1"/>
    <col min="2813" max="2813" width="6" style="38" customWidth="1"/>
    <col min="2814" max="2814" width="15.875" style="38" customWidth="1"/>
    <col min="2815" max="2815" width="10.375" style="38" customWidth="1"/>
    <col min="2816" max="2816" width="32.125" style="38" customWidth="1"/>
    <col min="2817" max="2817" width="13.625" style="38" customWidth="1"/>
    <col min="2818" max="2818" width="7.125" style="38" customWidth="1"/>
    <col min="2819" max="2819" width="4.375" style="38" customWidth="1"/>
    <col min="2820" max="2822" width="9.375" style="38" customWidth="1"/>
    <col min="2823" max="3065" width="9" style="38"/>
    <col min="3066" max="3066" width="1" style="38" customWidth="1"/>
    <col min="3067" max="3067" width="16.25" style="38" customWidth="1"/>
    <col min="3068" max="3068" width="18.625" style="38" customWidth="1"/>
    <col min="3069" max="3069" width="6" style="38" customWidth="1"/>
    <col min="3070" max="3070" width="15.875" style="38" customWidth="1"/>
    <col min="3071" max="3071" width="10.375" style="38" customWidth="1"/>
    <col min="3072" max="3072" width="32.125" style="38" customWidth="1"/>
    <col min="3073" max="3073" width="13.625" style="38" customWidth="1"/>
    <col min="3074" max="3074" width="7.125" style="38" customWidth="1"/>
    <col min="3075" max="3075" width="4.375" style="38" customWidth="1"/>
    <col min="3076" max="3078" width="9.375" style="38" customWidth="1"/>
    <col min="3079" max="3321" width="9" style="38"/>
    <col min="3322" max="3322" width="1" style="38" customWidth="1"/>
    <col min="3323" max="3323" width="16.25" style="38" customWidth="1"/>
    <col min="3324" max="3324" width="18.625" style="38" customWidth="1"/>
    <col min="3325" max="3325" width="6" style="38" customWidth="1"/>
    <col min="3326" max="3326" width="15.875" style="38" customWidth="1"/>
    <col min="3327" max="3327" width="10.375" style="38" customWidth="1"/>
    <col min="3328" max="3328" width="32.125" style="38" customWidth="1"/>
    <col min="3329" max="3329" width="13.625" style="38" customWidth="1"/>
    <col min="3330" max="3330" width="7.125" style="38" customWidth="1"/>
    <col min="3331" max="3331" width="4.375" style="38" customWidth="1"/>
    <col min="3332" max="3334" width="9.375" style="38" customWidth="1"/>
    <col min="3335" max="3577" width="9" style="38"/>
    <col min="3578" max="3578" width="1" style="38" customWidth="1"/>
    <col min="3579" max="3579" width="16.25" style="38" customWidth="1"/>
    <col min="3580" max="3580" width="18.625" style="38" customWidth="1"/>
    <col min="3581" max="3581" width="6" style="38" customWidth="1"/>
    <col min="3582" max="3582" width="15.875" style="38" customWidth="1"/>
    <col min="3583" max="3583" width="10.375" style="38" customWidth="1"/>
    <col min="3584" max="3584" width="32.125" style="38" customWidth="1"/>
    <col min="3585" max="3585" width="13.625" style="38" customWidth="1"/>
    <col min="3586" max="3586" width="7.125" style="38" customWidth="1"/>
    <col min="3587" max="3587" width="4.375" style="38" customWidth="1"/>
    <col min="3588" max="3590" width="9.375" style="38" customWidth="1"/>
    <col min="3591" max="3833" width="9" style="38"/>
    <col min="3834" max="3834" width="1" style="38" customWidth="1"/>
    <col min="3835" max="3835" width="16.25" style="38" customWidth="1"/>
    <col min="3836" max="3836" width="18.625" style="38" customWidth="1"/>
    <col min="3837" max="3837" width="6" style="38" customWidth="1"/>
    <col min="3838" max="3838" width="15.875" style="38" customWidth="1"/>
    <col min="3839" max="3839" width="10.375" style="38" customWidth="1"/>
    <col min="3840" max="3840" width="32.125" style="38" customWidth="1"/>
    <col min="3841" max="3841" width="13.625" style="38" customWidth="1"/>
    <col min="3842" max="3842" width="7.125" style="38" customWidth="1"/>
    <col min="3843" max="3843" width="4.375" style="38" customWidth="1"/>
    <col min="3844" max="3846" width="9.375" style="38" customWidth="1"/>
    <col min="3847" max="4089" width="9" style="38"/>
    <col min="4090" max="4090" width="1" style="38" customWidth="1"/>
    <col min="4091" max="4091" width="16.25" style="38" customWidth="1"/>
    <col min="4092" max="4092" width="18.625" style="38" customWidth="1"/>
    <col min="4093" max="4093" width="6" style="38" customWidth="1"/>
    <col min="4094" max="4094" width="15.875" style="38" customWidth="1"/>
    <col min="4095" max="4095" width="10.375" style="38" customWidth="1"/>
    <col min="4096" max="4096" width="32.125" style="38" customWidth="1"/>
    <col min="4097" max="4097" width="13.625" style="38" customWidth="1"/>
    <col min="4098" max="4098" width="7.125" style="38" customWidth="1"/>
    <col min="4099" max="4099" width="4.375" style="38" customWidth="1"/>
    <col min="4100" max="4102" width="9.375" style="38" customWidth="1"/>
    <col min="4103" max="4345" width="9" style="38"/>
    <col min="4346" max="4346" width="1" style="38" customWidth="1"/>
    <col min="4347" max="4347" width="16.25" style="38" customWidth="1"/>
    <col min="4348" max="4348" width="18.625" style="38" customWidth="1"/>
    <col min="4349" max="4349" width="6" style="38" customWidth="1"/>
    <col min="4350" max="4350" width="15.875" style="38" customWidth="1"/>
    <col min="4351" max="4351" width="10.375" style="38" customWidth="1"/>
    <col min="4352" max="4352" width="32.125" style="38" customWidth="1"/>
    <col min="4353" max="4353" width="13.625" style="38" customWidth="1"/>
    <col min="4354" max="4354" width="7.125" style="38" customWidth="1"/>
    <col min="4355" max="4355" width="4.375" style="38" customWidth="1"/>
    <col min="4356" max="4358" width="9.375" style="38" customWidth="1"/>
    <col min="4359" max="4601" width="9" style="38"/>
    <col min="4602" max="4602" width="1" style="38" customWidth="1"/>
    <col min="4603" max="4603" width="16.25" style="38" customWidth="1"/>
    <col min="4604" max="4604" width="18.625" style="38" customWidth="1"/>
    <col min="4605" max="4605" width="6" style="38" customWidth="1"/>
    <col min="4606" max="4606" width="15.875" style="38" customWidth="1"/>
    <col min="4607" max="4607" width="10.375" style="38" customWidth="1"/>
    <col min="4608" max="4608" width="32.125" style="38" customWidth="1"/>
    <col min="4609" max="4609" width="13.625" style="38" customWidth="1"/>
    <col min="4610" max="4610" width="7.125" style="38" customWidth="1"/>
    <col min="4611" max="4611" width="4.375" style="38" customWidth="1"/>
    <col min="4612" max="4614" width="9.375" style="38" customWidth="1"/>
    <col min="4615" max="4857" width="9" style="38"/>
    <col min="4858" max="4858" width="1" style="38" customWidth="1"/>
    <col min="4859" max="4859" width="16.25" style="38" customWidth="1"/>
    <col min="4860" max="4860" width="18.625" style="38" customWidth="1"/>
    <col min="4861" max="4861" width="6" style="38" customWidth="1"/>
    <col min="4862" max="4862" width="15.875" style="38" customWidth="1"/>
    <col min="4863" max="4863" width="10.375" style="38" customWidth="1"/>
    <col min="4864" max="4864" width="32.125" style="38" customWidth="1"/>
    <col min="4865" max="4865" width="13.625" style="38" customWidth="1"/>
    <col min="4866" max="4866" width="7.125" style="38" customWidth="1"/>
    <col min="4867" max="4867" width="4.375" style="38" customWidth="1"/>
    <col min="4868" max="4870" width="9.375" style="38" customWidth="1"/>
    <col min="4871" max="5113" width="9" style="38"/>
    <col min="5114" max="5114" width="1" style="38" customWidth="1"/>
    <col min="5115" max="5115" width="16.25" style="38" customWidth="1"/>
    <col min="5116" max="5116" width="18.625" style="38" customWidth="1"/>
    <col min="5117" max="5117" width="6" style="38" customWidth="1"/>
    <col min="5118" max="5118" width="15.875" style="38" customWidth="1"/>
    <col min="5119" max="5119" width="10.375" style="38" customWidth="1"/>
    <col min="5120" max="5120" width="32.125" style="38" customWidth="1"/>
    <col min="5121" max="5121" width="13.625" style="38" customWidth="1"/>
    <col min="5122" max="5122" width="7.125" style="38" customWidth="1"/>
    <col min="5123" max="5123" width="4.375" style="38" customWidth="1"/>
    <col min="5124" max="5126" width="9.375" style="38" customWidth="1"/>
    <col min="5127" max="5369" width="9" style="38"/>
    <col min="5370" max="5370" width="1" style="38" customWidth="1"/>
    <col min="5371" max="5371" width="16.25" style="38" customWidth="1"/>
    <col min="5372" max="5372" width="18.625" style="38" customWidth="1"/>
    <col min="5373" max="5373" width="6" style="38" customWidth="1"/>
    <col min="5374" max="5374" width="15.875" style="38" customWidth="1"/>
    <col min="5375" max="5375" width="10.375" style="38" customWidth="1"/>
    <col min="5376" max="5376" width="32.125" style="38" customWidth="1"/>
    <col min="5377" max="5377" width="13.625" style="38" customWidth="1"/>
    <col min="5378" max="5378" width="7.125" style="38" customWidth="1"/>
    <col min="5379" max="5379" width="4.375" style="38" customWidth="1"/>
    <col min="5380" max="5382" width="9.375" style="38" customWidth="1"/>
    <col min="5383" max="5625" width="9" style="38"/>
    <col min="5626" max="5626" width="1" style="38" customWidth="1"/>
    <col min="5627" max="5627" width="16.25" style="38" customWidth="1"/>
    <col min="5628" max="5628" width="18.625" style="38" customWidth="1"/>
    <col min="5629" max="5629" width="6" style="38" customWidth="1"/>
    <col min="5630" max="5630" width="15.875" style="38" customWidth="1"/>
    <col min="5631" max="5631" width="10.375" style="38" customWidth="1"/>
    <col min="5632" max="5632" width="32.125" style="38" customWidth="1"/>
    <col min="5633" max="5633" width="13.625" style="38" customWidth="1"/>
    <col min="5634" max="5634" width="7.125" style="38" customWidth="1"/>
    <col min="5635" max="5635" width="4.375" style="38" customWidth="1"/>
    <col min="5636" max="5638" width="9.375" style="38" customWidth="1"/>
    <col min="5639" max="5881" width="9" style="38"/>
    <col min="5882" max="5882" width="1" style="38" customWidth="1"/>
    <col min="5883" max="5883" width="16.25" style="38" customWidth="1"/>
    <col min="5884" max="5884" width="18.625" style="38" customWidth="1"/>
    <col min="5885" max="5885" width="6" style="38" customWidth="1"/>
    <col min="5886" max="5886" width="15.875" style="38" customWidth="1"/>
    <col min="5887" max="5887" width="10.375" style="38" customWidth="1"/>
    <col min="5888" max="5888" width="32.125" style="38" customWidth="1"/>
    <col min="5889" max="5889" width="13.625" style="38" customWidth="1"/>
    <col min="5890" max="5890" width="7.125" style="38" customWidth="1"/>
    <col min="5891" max="5891" width="4.375" style="38" customWidth="1"/>
    <col min="5892" max="5894" width="9.375" style="38" customWidth="1"/>
    <col min="5895" max="6137" width="9" style="38"/>
    <col min="6138" max="6138" width="1" style="38" customWidth="1"/>
    <col min="6139" max="6139" width="16.25" style="38" customWidth="1"/>
    <col min="6140" max="6140" width="18.625" style="38" customWidth="1"/>
    <col min="6141" max="6141" width="6" style="38" customWidth="1"/>
    <col min="6142" max="6142" width="15.875" style="38" customWidth="1"/>
    <col min="6143" max="6143" width="10.375" style="38" customWidth="1"/>
    <col min="6144" max="6144" width="32.125" style="38" customWidth="1"/>
    <col min="6145" max="6145" width="13.625" style="38" customWidth="1"/>
    <col min="6146" max="6146" width="7.125" style="38" customWidth="1"/>
    <col min="6147" max="6147" width="4.375" style="38" customWidth="1"/>
    <col min="6148" max="6150" width="9.375" style="38" customWidth="1"/>
    <col min="6151" max="6393" width="9" style="38"/>
    <col min="6394" max="6394" width="1" style="38" customWidth="1"/>
    <col min="6395" max="6395" width="16.25" style="38" customWidth="1"/>
    <col min="6396" max="6396" width="18.625" style="38" customWidth="1"/>
    <col min="6397" max="6397" width="6" style="38" customWidth="1"/>
    <col min="6398" max="6398" width="15.875" style="38" customWidth="1"/>
    <col min="6399" max="6399" width="10.375" style="38" customWidth="1"/>
    <col min="6400" max="6400" width="32.125" style="38" customWidth="1"/>
    <col min="6401" max="6401" width="13.625" style="38" customWidth="1"/>
    <col min="6402" max="6402" width="7.125" style="38" customWidth="1"/>
    <col min="6403" max="6403" width="4.375" style="38" customWidth="1"/>
    <col min="6404" max="6406" width="9.375" style="38" customWidth="1"/>
    <col min="6407" max="6649" width="9" style="38"/>
    <col min="6650" max="6650" width="1" style="38" customWidth="1"/>
    <col min="6651" max="6651" width="16.25" style="38" customWidth="1"/>
    <col min="6652" max="6652" width="18.625" style="38" customWidth="1"/>
    <col min="6653" max="6653" width="6" style="38" customWidth="1"/>
    <col min="6654" max="6654" width="15.875" style="38" customWidth="1"/>
    <col min="6655" max="6655" width="10.375" style="38" customWidth="1"/>
    <col min="6656" max="6656" width="32.125" style="38" customWidth="1"/>
    <col min="6657" max="6657" width="13.625" style="38" customWidth="1"/>
    <col min="6658" max="6658" width="7.125" style="38" customWidth="1"/>
    <col min="6659" max="6659" width="4.375" style="38" customWidth="1"/>
    <col min="6660" max="6662" width="9.375" style="38" customWidth="1"/>
    <col min="6663" max="6905" width="9" style="38"/>
    <col min="6906" max="6906" width="1" style="38" customWidth="1"/>
    <col min="6907" max="6907" width="16.25" style="38" customWidth="1"/>
    <col min="6908" max="6908" width="18.625" style="38" customWidth="1"/>
    <col min="6909" max="6909" width="6" style="38" customWidth="1"/>
    <col min="6910" max="6910" width="15.875" style="38" customWidth="1"/>
    <col min="6911" max="6911" width="10.375" style="38" customWidth="1"/>
    <col min="6912" max="6912" width="32.125" style="38" customWidth="1"/>
    <col min="6913" max="6913" width="13.625" style="38" customWidth="1"/>
    <col min="6914" max="6914" width="7.125" style="38" customWidth="1"/>
    <col min="6915" max="6915" width="4.375" style="38" customWidth="1"/>
    <col min="6916" max="6918" width="9.375" style="38" customWidth="1"/>
    <col min="6919" max="7161" width="9" style="38"/>
    <col min="7162" max="7162" width="1" style="38" customWidth="1"/>
    <col min="7163" max="7163" width="16.25" style="38" customWidth="1"/>
    <col min="7164" max="7164" width="18.625" style="38" customWidth="1"/>
    <col min="7165" max="7165" width="6" style="38" customWidth="1"/>
    <col min="7166" max="7166" width="15.875" style="38" customWidth="1"/>
    <col min="7167" max="7167" width="10.375" style="38" customWidth="1"/>
    <col min="7168" max="7168" width="32.125" style="38" customWidth="1"/>
    <col min="7169" max="7169" width="13.625" style="38" customWidth="1"/>
    <col min="7170" max="7170" width="7.125" style="38" customWidth="1"/>
    <col min="7171" max="7171" width="4.375" style="38" customWidth="1"/>
    <col min="7172" max="7174" width="9.375" style="38" customWidth="1"/>
    <col min="7175" max="7417" width="9" style="38"/>
    <col min="7418" max="7418" width="1" style="38" customWidth="1"/>
    <col min="7419" max="7419" width="16.25" style="38" customWidth="1"/>
    <col min="7420" max="7420" width="18.625" style="38" customWidth="1"/>
    <col min="7421" max="7421" width="6" style="38" customWidth="1"/>
    <col min="7422" max="7422" width="15.875" style="38" customWidth="1"/>
    <col min="7423" max="7423" width="10.375" style="38" customWidth="1"/>
    <col min="7424" max="7424" width="32.125" style="38" customWidth="1"/>
    <col min="7425" max="7425" width="13.625" style="38" customWidth="1"/>
    <col min="7426" max="7426" width="7.125" style="38" customWidth="1"/>
    <col min="7427" max="7427" width="4.375" style="38" customWidth="1"/>
    <col min="7428" max="7430" width="9.375" style="38" customWidth="1"/>
    <col min="7431" max="7673" width="9" style="38"/>
    <col min="7674" max="7674" width="1" style="38" customWidth="1"/>
    <col min="7675" max="7675" width="16.25" style="38" customWidth="1"/>
    <col min="7676" max="7676" width="18.625" style="38" customWidth="1"/>
    <col min="7677" max="7677" width="6" style="38" customWidth="1"/>
    <col min="7678" max="7678" width="15.875" style="38" customWidth="1"/>
    <col min="7679" max="7679" width="10.375" style="38" customWidth="1"/>
    <col min="7680" max="7680" width="32.125" style="38" customWidth="1"/>
    <col min="7681" max="7681" width="13.625" style="38" customWidth="1"/>
    <col min="7682" max="7682" width="7.125" style="38" customWidth="1"/>
    <col min="7683" max="7683" width="4.375" style="38" customWidth="1"/>
    <col min="7684" max="7686" width="9.375" style="38" customWidth="1"/>
    <col min="7687" max="7929" width="9" style="38"/>
    <col min="7930" max="7930" width="1" style="38" customWidth="1"/>
    <col min="7931" max="7931" width="16.25" style="38" customWidth="1"/>
    <col min="7932" max="7932" width="18.625" style="38" customWidth="1"/>
    <col min="7933" max="7933" width="6" style="38" customWidth="1"/>
    <col min="7934" max="7934" width="15.875" style="38" customWidth="1"/>
    <col min="7935" max="7935" width="10.375" style="38" customWidth="1"/>
    <col min="7936" max="7936" width="32.125" style="38" customWidth="1"/>
    <col min="7937" max="7937" width="13.625" style="38" customWidth="1"/>
    <col min="7938" max="7938" width="7.125" style="38" customWidth="1"/>
    <col min="7939" max="7939" width="4.375" style="38" customWidth="1"/>
    <col min="7940" max="7942" width="9.375" style="38" customWidth="1"/>
    <col min="7943" max="8185" width="9" style="38"/>
    <col min="8186" max="8186" width="1" style="38" customWidth="1"/>
    <col min="8187" max="8187" width="16.25" style="38" customWidth="1"/>
    <col min="8188" max="8188" width="18.625" style="38" customWidth="1"/>
    <col min="8189" max="8189" width="6" style="38" customWidth="1"/>
    <col min="8190" max="8190" width="15.875" style="38" customWidth="1"/>
    <col min="8191" max="8191" width="10.375" style="38" customWidth="1"/>
    <col min="8192" max="8192" width="32.125" style="38" customWidth="1"/>
    <col min="8193" max="8193" width="13.625" style="38" customWidth="1"/>
    <col min="8194" max="8194" width="7.125" style="38" customWidth="1"/>
    <col min="8195" max="8195" width="4.375" style="38" customWidth="1"/>
    <col min="8196" max="8198" width="9.375" style="38" customWidth="1"/>
    <col min="8199" max="8441" width="9" style="38"/>
    <col min="8442" max="8442" width="1" style="38" customWidth="1"/>
    <col min="8443" max="8443" width="16.25" style="38" customWidth="1"/>
    <col min="8444" max="8444" width="18.625" style="38" customWidth="1"/>
    <col min="8445" max="8445" width="6" style="38" customWidth="1"/>
    <col min="8446" max="8446" width="15.875" style="38" customWidth="1"/>
    <col min="8447" max="8447" width="10.375" style="38" customWidth="1"/>
    <col min="8448" max="8448" width="32.125" style="38" customWidth="1"/>
    <col min="8449" max="8449" width="13.625" style="38" customWidth="1"/>
    <col min="8450" max="8450" width="7.125" style="38" customWidth="1"/>
    <col min="8451" max="8451" width="4.375" style="38" customWidth="1"/>
    <col min="8452" max="8454" width="9.375" style="38" customWidth="1"/>
    <col min="8455" max="8697" width="9" style="38"/>
    <col min="8698" max="8698" width="1" style="38" customWidth="1"/>
    <col min="8699" max="8699" width="16.25" style="38" customWidth="1"/>
    <col min="8700" max="8700" width="18.625" style="38" customWidth="1"/>
    <col min="8701" max="8701" width="6" style="38" customWidth="1"/>
    <col min="8702" max="8702" width="15.875" style="38" customWidth="1"/>
    <col min="8703" max="8703" width="10.375" style="38" customWidth="1"/>
    <col min="8704" max="8704" width="32.125" style="38" customWidth="1"/>
    <col min="8705" max="8705" width="13.625" style="38" customWidth="1"/>
    <col min="8706" max="8706" width="7.125" style="38" customWidth="1"/>
    <col min="8707" max="8707" width="4.375" style="38" customWidth="1"/>
    <col min="8708" max="8710" width="9.375" style="38" customWidth="1"/>
    <col min="8711" max="8953" width="9" style="38"/>
    <col min="8954" max="8954" width="1" style="38" customWidth="1"/>
    <col min="8955" max="8955" width="16.25" style="38" customWidth="1"/>
    <col min="8956" max="8956" width="18.625" style="38" customWidth="1"/>
    <col min="8957" max="8957" width="6" style="38" customWidth="1"/>
    <col min="8958" max="8958" width="15.875" style="38" customWidth="1"/>
    <col min="8959" max="8959" width="10.375" style="38" customWidth="1"/>
    <col min="8960" max="8960" width="32.125" style="38" customWidth="1"/>
    <col min="8961" max="8961" width="13.625" style="38" customWidth="1"/>
    <col min="8962" max="8962" width="7.125" style="38" customWidth="1"/>
    <col min="8963" max="8963" width="4.375" style="38" customWidth="1"/>
    <col min="8964" max="8966" width="9.375" style="38" customWidth="1"/>
    <col min="8967" max="9209" width="9" style="38"/>
    <col min="9210" max="9210" width="1" style="38" customWidth="1"/>
    <col min="9211" max="9211" width="16.25" style="38" customWidth="1"/>
    <col min="9212" max="9212" width="18.625" style="38" customWidth="1"/>
    <col min="9213" max="9213" width="6" style="38" customWidth="1"/>
    <col min="9214" max="9214" width="15.875" style="38" customWidth="1"/>
    <col min="9215" max="9215" width="10.375" style="38" customWidth="1"/>
    <col min="9216" max="9216" width="32.125" style="38" customWidth="1"/>
    <col min="9217" max="9217" width="13.625" style="38" customWidth="1"/>
    <col min="9218" max="9218" width="7.125" style="38" customWidth="1"/>
    <col min="9219" max="9219" width="4.375" style="38" customWidth="1"/>
    <col min="9220" max="9222" width="9.375" style="38" customWidth="1"/>
    <col min="9223" max="9465" width="9" style="38"/>
    <col min="9466" max="9466" width="1" style="38" customWidth="1"/>
    <col min="9467" max="9467" width="16.25" style="38" customWidth="1"/>
    <col min="9468" max="9468" width="18.625" style="38" customWidth="1"/>
    <col min="9469" max="9469" width="6" style="38" customWidth="1"/>
    <col min="9470" max="9470" width="15.875" style="38" customWidth="1"/>
    <col min="9471" max="9471" width="10.375" style="38" customWidth="1"/>
    <col min="9472" max="9472" width="32.125" style="38" customWidth="1"/>
    <col min="9473" max="9473" width="13.625" style="38" customWidth="1"/>
    <col min="9474" max="9474" width="7.125" style="38" customWidth="1"/>
    <col min="9475" max="9475" width="4.375" style="38" customWidth="1"/>
    <col min="9476" max="9478" width="9.375" style="38" customWidth="1"/>
    <col min="9479" max="9721" width="9" style="38"/>
    <col min="9722" max="9722" width="1" style="38" customWidth="1"/>
    <col min="9723" max="9723" width="16.25" style="38" customWidth="1"/>
    <col min="9724" max="9724" width="18.625" style="38" customWidth="1"/>
    <col min="9725" max="9725" width="6" style="38" customWidth="1"/>
    <col min="9726" max="9726" width="15.875" style="38" customWidth="1"/>
    <col min="9727" max="9727" width="10.375" style="38" customWidth="1"/>
    <col min="9728" max="9728" width="32.125" style="38" customWidth="1"/>
    <col min="9729" max="9729" width="13.625" style="38" customWidth="1"/>
    <col min="9730" max="9730" width="7.125" style="38" customWidth="1"/>
    <col min="9731" max="9731" width="4.375" style="38" customWidth="1"/>
    <col min="9732" max="9734" width="9.375" style="38" customWidth="1"/>
    <col min="9735" max="9977" width="9" style="38"/>
    <col min="9978" max="9978" width="1" style="38" customWidth="1"/>
    <col min="9979" max="9979" width="16.25" style="38" customWidth="1"/>
    <col min="9980" max="9980" width="18.625" style="38" customWidth="1"/>
    <col min="9981" max="9981" width="6" style="38" customWidth="1"/>
    <col min="9982" max="9982" width="15.875" style="38" customWidth="1"/>
    <col min="9983" max="9983" width="10.375" style="38" customWidth="1"/>
    <col min="9984" max="9984" width="32.125" style="38" customWidth="1"/>
    <col min="9985" max="9985" width="13.625" style="38" customWidth="1"/>
    <col min="9986" max="9986" width="7.125" style="38" customWidth="1"/>
    <col min="9987" max="9987" width="4.375" style="38" customWidth="1"/>
    <col min="9988" max="9990" width="9.375" style="38" customWidth="1"/>
    <col min="9991" max="10233" width="9" style="38"/>
    <col min="10234" max="10234" width="1" style="38" customWidth="1"/>
    <col min="10235" max="10235" width="16.25" style="38" customWidth="1"/>
    <col min="10236" max="10236" width="18.625" style="38" customWidth="1"/>
    <col min="10237" max="10237" width="6" style="38" customWidth="1"/>
    <col min="10238" max="10238" width="15.875" style="38" customWidth="1"/>
    <col min="10239" max="10239" width="10.375" style="38" customWidth="1"/>
    <col min="10240" max="10240" width="32.125" style="38" customWidth="1"/>
    <col min="10241" max="10241" width="13.625" style="38" customWidth="1"/>
    <col min="10242" max="10242" width="7.125" style="38" customWidth="1"/>
    <col min="10243" max="10243" width="4.375" style="38" customWidth="1"/>
    <col min="10244" max="10246" width="9.375" style="38" customWidth="1"/>
    <col min="10247" max="10489" width="9" style="38"/>
    <col min="10490" max="10490" width="1" style="38" customWidth="1"/>
    <col min="10491" max="10491" width="16.25" style="38" customWidth="1"/>
    <col min="10492" max="10492" width="18.625" style="38" customWidth="1"/>
    <col min="10493" max="10493" width="6" style="38" customWidth="1"/>
    <col min="10494" max="10494" width="15.875" style="38" customWidth="1"/>
    <col min="10495" max="10495" width="10.375" style="38" customWidth="1"/>
    <col min="10496" max="10496" width="32.125" style="38" customWidth="1"/>
    <col min="10497" max="10497" width="13.625" style="38" customWidth="1"/>
    <col min="10498" max="10498" width="7.125" style="38" customWidth="1"/>
    <col min="10499" max="10499" width="4.375" style="38" customWidth="1"/>
    <col min="10500" max="10502" width="9.375" style="38" customWidth="1"/>
    <col min="10503" max="10745" width="9" style="38"/>
    <col min="10746" max="10746" width="1" style="38" customWidth="1"/>
    <col min="10747" max="10747" width="16.25" style="38" customWidth="1"/>
    <col min="10748" max="10748" width="18.625" style="38" customWidth="1"/>
    <col min="10749" max="10749" width="6" style="38" customWidth="1"/>
    <col min="10750" max="10750" width="15.875" style="38" customWidth="1"/>
    <col min="10751" max="10751" width="10.375" style="38" customWidth="1"/>
    <col min="10752" max="10752" width="32.125" style="38" customWidth="1"/>
    <col min="10753" max="10753" width="13.625" style="38" customWidth="1"/>
    <col min="10754" max="10754" width="7.125" style="38" customWidth="1"/>
    <col min="10755" max="10755" width="4.375" style="38" customWidth="1"/>
    <col min="10756" max="10758" width="9.375" style="38" customWidth="1"/>
    <col min="10759" max="11001" width="9" style="38"/>
    <col min="11002" max="11002" width="1" style="38" customWidth="1"/>
    <col min="11003" max="11003" width="16.25" style="38" customWidth="1"/>
    <col min="11004" max="11004" width="18.625" style="38" customWidth="1"/>
    <col min="11005" max="11005" width="6" style="38" customWidth="1"/>
    <col min="11006" max="11006" width="15.875" style="38" customWidth="1"/>
    <col min="11007" max="11007" width="10.375" style="38" customWidth="1"/>
    <col min="11008" max="11008" width="32.125" style="38" customWidth="1"/>
    <col min="11009" max="11009" width="13.625" style="38" customWidth="1"/>
    <col min="11010" max="11010" width="7.125" style="38" customWidth="1"/>
    <col min="11011" max="11011" width="4.375" style="38" customWidth="1"/>
    <col min="11012" max="11014" width="9.375" style="38" customWidth="1"/>
    <col min="11015" max="11257" width="9" style="38"/>
    <col min="11258" max="11258" width="1" style="38" customWidth="1"/>
    <col min="11259" max="11259" width="16.25" style="38" customWidth="1"/>
    <col min="11260" max="11260" width="18.625" style="38" customWidth="1"/>
    <col min="11261" max="11261" width="6" style="38" customWidth="1"/>
    <col min="11262" max="11262" width="15.875" style="38" customWidth="1"/>
    <col min="11263" max="11263" width="10.375" style="38" customWidth="1"/>
    <col min="11264" max="11264" width="32.125" style="38" customWidth="1"/>
    <col min="11265" max="11265" width="13.625" style="38" customWidth="1"/>
    <col min="11266" max="11266" width="7.125" style="38" customWidth="1"/>
    <col min="11267" max="11267" width="4.375" style="38" customWidth="1"/>
    <col min="11268" max="11270" width="9.375" style="38" customWidth="1"/>
    <col min="11271" max="11513" width="9" style="38"/>
    <col min="11514" max="11514" width="1" style="38" customWidth="1"/>
    <col min="11515" max="11515" width="16.25" style="38" customWidth="1"/>
    <col min="11516" max="11516" width="18.625" style="38" customWidth="1"/>
    <col min="11517" max="11517" width="6" style="38" customWidth="1"/>
    <col min="11518" max="11518" width="15.875" style="38" customWidth="1"/>
    <col min="11519" max="11519" width="10.375" style="38" customWidth="1"/>
    <col min="11520" max="11520" width="32.125" style="38" customWidth="1"/>
    <col min="11521" max="11521" width="13.625" style="38" customWidth="1"/>
    <col min="11522" max="11522" width="7.125" style="38" customWidth="1"/>
    <col min="11523" max="11523" width="4.375" style="38" customWidth="1"/>
    <col min="11524" max="11526" width="9.375" style="38" customWidth="1"/>
    <col min="11527" max="11769" width="9" style="38"/>
    <col min="11770" max="11770" width="1" style="38" customWidth="1"/>
    <col min="11771" max="11771" width="16.25" style="38" customWidth="1"/>
    <col min="11772" max="11772" width="18.625" style="38" customWidth="1"/>
    <col min="11773" max="11773" width="6" style="38" customWidth="1"/>
    <col min="11774" max="11774" width="15.875" style="38" customWidth="1"/>
    <col min="11775" max="11775" width="10.375" style="38" customWidth="1"/>
    <col min="11776" max="11776" width="32.125" style="38" customWidth="1"/>
    <col min="11777" max="11777" width="13.625" style="38" customWidth="1"/>
    <col min="11778" max="11778" width="7.125" style="38" customWidth="1"/>
    <col min="11779" max="11779" width="4.375" style="38" customWidth="1"/>
    <col min="11780" max="11782" width="9.375" style="38" customWidth="1"/>
    <col min="11783" max="12025" width="9" style="38"/>
    <col min="12026" max="12026" width="1" style="38" customWidth="1"/>
    <col min="12027" max="12027" width="16.25" style="38" customWidth="1"/>
    <col min="12028" max="12028" width="18.625" style="38" customWidth="1"/>
    <col min="12029" max="12029" width="6" style="38" customWidth="1"/>
    <col min="12030" max="12030" width="15.875" style="38" customWidth="1"/>
    <col min="12031" max="12031" width="10.375" style="38" customWidth="1"/>
    <col min="12032" max="12032" width="32.125" style="38" customWidth="1"/>
    <col min="12033" max="12033" width="13.625" style="38" customWidth="1"/>
    <col min="12034" max="12034" width="7.125" style="38" customWidth="1"/>
    <col min="12035" max="12035" width="4.375" style="38" customWidth="1"/>
    <col min="12036" max="12038" width="9.375" style="38" customWidth="1"/>
    <col min="12039" max="12281" width="9" style="38"/>
    <col min="12282" max="12282" width="1" style="38" customWidth="1"/>
    <col min="12283" max="12283" width="16.25" style="38" customWidth="1"/>
    <col min="12284" max="12284" width="18.625" style="38" customWidth="1"/>
    <col min="12285" max="12285" width="6" style="38" customWidth="1"/>
    <col min="12286" max="12286" width="15.875" style="38" customWidth="1"/>
    <col min="12287" max="12287" width="10.375" style="38" customWidth="1"/>
    <col min="12288" max="12288" width="32.125" style="38" customWidth="1"/>
    <col min="12289" max="12289" width="13.625" style="38" customWidth="1"/>
    <col min="12290" max="12290" width="7.125" style="38" customWidth="1"/>
    <col min="12291" max="12291" width="4.375" style="38" customWidth="1"/>
    <col min="12292" max="12294" width="9.375" style="38" customWidth="1"/>
    <col min="12295" max="12537" width="9" style="38"/>
    <col min="12538" max="12538" width="1" style="38" customWidth="1"/>
    <col min="12539" max="12539" width="16.25" style="38" customWidth="1"/>
    <col min="12540" max="12540" width="18.625" style="38" customWidth="1"/>
    <col min="12541" max="12541" width="6" style="38" customWidth="1"/>
    <col min="12542" max="12542" width="15.875" style="38" customWidth="1"/>
    <col min="12543" max="12543" width="10.375" style="38" customWidth="1"/>
    <col min="12544" max="12544" width="32.125" style="38" customWidth="1"/>
    <col min="12545" max="12545" width="13.625" style="38" customWidth="1"/>
    <col min="12546" max="12546" width="7.125" style="38" customWidth="1"/>
    <col min="12547" max="12547" width="4.375" style="38" customWidth="1"/>
    <col min="12548" max="12550" width="9.375" style="38" customWidth="1"/>
    <col min="12551" max="12793" width="9" style="38"/>
    <col min="12794" max="12794" width="1" style="38" customWidth="1"/>
    <col min="12795" max="12795" width="16.25" style="38" customWidth="1"/>
    <col min="12796" max="12796" width="18.625" style="38" customWidth="1"/>
    <col min="12797" max="12797" width="6" style="38" customWidth="1"/>
    <col min="12798" max="12798" width="15.875" style="38" customWidth="1"/>
    <col min="12799" max="12799" width="10.375" style="38" customWidth="1"/>
    <col min="12800" max="12800" width="32.125" style="38" customWidth="1"/>
    <col min="12801" max="12801" width="13.625" style="38" customWidth="1"/>
    <col min="12802" max="12802" width="7.125" style="38" customWidth="1"/>
    <col min="12803" max="12803" width="4.375" style="38" customWidth="1"/>
    <col min="12804" max="12806" width="9.375" style="38" customWidth="1"/>
    <col min="12807" max="13049" width="9" style="38"/>
    <col min="13050" max="13050" width="1" style="38" customWidth="1"/>
    <col min="13051" max="13051" width="16.25" style="38" customWidth="1"/>
    <col min="13052" max="13052" width="18.625" style="38" customWidth="1"/>
    <col min="13053" max="13053" width="6" style="38" customWidth="1"/>
    <col min="13054" max="13054" width="15.875" style="38" customWidth="1"/>
    <col min="13055" max="13055" width="10.375" style="38" customWidth="1"/>
    <col min="13056" max="13056" width="32.125" style="38" customWidth="1"/>
    <col min="13057" max="13057" width="13.625" style="38" customWidth="1"/>
    <col min="13058" max="13058" width="7.125" style="38" customWidth="1"/>
    <col min="13059" max="13059" width="4.375" style="38" customWidth="1"/>
    <col min="13060" max="13062" width="9.375" style="38" customWidth="1"/>
    <col min="13063" max="13305" width="9" style="38"/>
    <col min="13306" max="13306" width="1" style="38" customWidth="1"/>
    <col min="13307" max="13307" width="16.25" style="38" customWidth="1"/>
    <col min="13308" max="13308" width="18.625" style="38" customWidth="1"/>
    <col min="13309" max="13309" width="6" style="38" customWidth="1"/>
    <col min="13310" max="13310" width="15.875" style="38" customWidth="1"/>
    <col min="13311" max="13311" width="10.375" style="38" customWidth="1"/>
    <col min="13312" max="13312" width="32.125" style="38" customWidth="1"/>
    <col min="13313" max="13313" width="13.625" style="38" customWidth="1"/>
    <col min="13314" max="13314" width="7.125" style="38" customWidth="1"/>
    <col min="13315" max="13315" width="4.375" style="38" customWidth="1"/>
    <col min="13316" max="13318" width="9.375" style="38" customWidth="1"/>
    <col min="13319" max="13561" width="9" style="38"/>
    <col min="13562" max="13562" width="1" style="38" customWidth="1"/>
    <col min="13563" max="13563" width="16.25" style="38" customWidth="1"/>
    <col min="13564" max="13564" width="18.625" style="38" customWidth="1"/>
    <col min="13565" max="13565" width="6" style="38" customWidth="1"/>
    <col min="13566" max="13566" width="15.875" style="38" customWidth="1"/>
    <col min="13567" max="13567" width="10.375" style="38" customWidth="1"/>
    <col min="13568" max="13568" width="32.125" style="38" customWidth="1"/>
    <col min="13569" max="13569" width="13.625" style="38" customWidth="1"/>
    <col min="13570" max="13570" width="7.125" style="38" customWidth="1"/>
    <col min="13571" max="13571" width="4.375" style="38" customWidth="1"/>
    <col min="13572" max="13574" width="9.375" style="38" customWidth="1"/>
    <col min="13575" max="13817" width="9" style="38"/>
    <col min="13818" max="13818" width="1" style="38" customWidth="1"/>
    <col min="13819" max="13819" width="16.25" style="38" customWidth="1"/>
    <col min="13820" max="13820" width="18.625" style="38" customWidth="1"/>
    <col min="13821" max="13821" width="6" style="38" customWidth="1"/>
    <col min="13822" max="13822" width="15.875" style="38" customWidth="1"/>
    <col min="13823" max="13823" width="10.375" style="38" customWidth="1"/>
    <col min="13824" max="13824" width="32.125" style="38" customWidth="1"/>
    <col min="13825" max="13825" width="13.625" style="38" customWidth="1"/>
    <col min="13826" max="13826" width="7.125" style="38" customWidth="1"/>
    <col min="13827" max="13827" width="4.375" style="38" customWidth="1"/>
    <col min="13828" max="13830" width="9.375" style="38" customWidth="1"/>
    <col min="13831" max="14073" width="9" style="38"/>
    <col min="14074" max="14074" width="1" style="38" customWidth="1"/>
    <col min="14075" max="14075" width="16.25" style="38" customWidth="1"/>
    <col min="14076" max="14076" width="18.625" style="38" customWidth="1"/>
    <col min="14077" max="14077" width="6" style="38" customWidth="1"/>
    <col min="14078" max="14078" width="15.875" style="38" customWidth="1"/>
    <col min="14079" max="14079" width="10.375" style="38" customWidth="1"/>
    <col min="14080" max="14080" width="32.125" style="38" customWidth="1"/>
    <col min="14081" max="14081" width="13.625" style="38" customWidth="1"/>
    <col min="14082" max="14082" width="7.125" style="38" customWidth="1"/>
    <col min="14083" max="14083" width="4.375" style="38" customWidth="1"/>
    <col min="14084" max="14086" width="9.375" style="38" customWidth="1"/>
    <col min="14087" max="14329" width="9" style="38"/>
    <col min="14330" max="14330" width="1" style="38" customWidth="1"/>
    <col min="14331" max="14331" width="16.25" style="38" customWidth="1"/>
    <col min="14332" max="14332" width="18.625" style="38" customWidth="1"/>
    <col min="14333" max="14333" width="6" style="38" customWidth="1"/>
    <col min="14334" max="14334" width="15.875" style="38" customWidth="1"/>
    <col min="14335" max="14335" width="10.375" style="38" customWidth="1"/>
    <col min="14336" max="14336" width="32.125" style="38" customWidth="1"/>
    <col min="14337" max="14337" width="13.625" style="38" customWidth="1"/>
    <col min="14338" max="14338" width="7.125" style="38" customWidth="1"/>
    <col min="14339" max="14339" width="4.375" style="38" customWidth="1"/>
    <col min="14340" max="14342" width="9.375" style="38" customWidth="1"/>
    <col min="14343" max="14585" width="9" style="38"/>
    <col min="14586" max="14586" width="1" style="38" customWidth="1"/>
    <col min="14587" max="14587" width="16.25" style="38" customWidth="1"/>
    <col min="14588" max="14588" width="18.625" style="38" customWidth="1"/>
    <col min="14589" max="14589" width="6" style="38" customWidth="1"/>
    <col min="14590" max="14590" width="15.875" style="38" customWidth="1"/>
    <col min="14591" max="14591" width="10.375" style="38" customWidth="1"/>
    <col min="14592" max="14592" width="32.125" style="38" customWidth="1"/>
    <col min="14593" max="14593" width="13.625" style="38" customWidth="1"/>
    <col min="14594" max="14594" width="7.125" style="38" customWidth="1"/>
    <col min="14595" max="14595" width="4.375" style="38" customWidth="1"/>
    <col min="14596" max="14598" width="9.375" style="38" customWidth="1"/>
    <col min="14599" max="14841" width="9" style="38"/>
    <col min="14842" max="14842" width="1" style="38" customWidth="1"/>
    <col min="14843" max="14843" width="16.25" style="38" customWidth="1"/>
    <col min="14844" max="14844" width="18.625" style="38" customWidth="1"/>
    <col min="14845" max="14845" width="6" style="38" customWidth="1"/>
    <col min="14846" max="14846" width="15.875" style="38" customWidth="1"/>
    <col min="14847" max="14847" width="10.375" style="38" customWidth="1"/>
    <col min="14848" max="14848" width="32.125" style="38" customWidth="1"/>
    <col min="14849" max="14849" width="13.625" style="38" customWidth="1"/>
    <col min="14850" max="14850" width="7.125" style="38" customWidth="1"/>
    <col min="14851" max="14851" width="4.375" style="38" customWidth="1"/>
    <col min="14852" max="14854" width="9.375" style="38" customWidth="1"/>
    <col min="14855" max="15097" width="9" style="38"/>
    <col min="15098" max="15098" width="1" style="38" customWidth="1"/>
    <col min="15099" max="15099" width="16.25" style="38" customWidth="1"/>
    <col min="15100" max="15100" width="18.625" style="38" customWidth="1"/>
    <col min="15101" max="15101" width="6" style="38" customWidth="1"/>
    <col min="15102" max="15102" width="15.875" style="38" customWidth="1"/>
    <col min="15103" max="15103" width="10.375" style="38" customWidth="1"/>
    <col min="15104" max="15104" width="32.125" style="38" customWidth="1"/>
    <col min="15105" max="15105" width="13.625" style="38" customWidth="1"/>
    <col min="15106" max="15106" width="7.125" style="38" customWidth="1"/>
    <col min="15107" max="15107" width="4.375" style="38" customWidth="1"/>
    <col min="15108" max="15110" width="9.375" style="38" customWidth="1"/>
    <col min="15111" max="15353" width="9" style="38"/>
    <col min="15354" max="15354" width="1" style="38" customWidth="1"/>
    <col min="15355" max="15355" width="16.25" style="38" customWidth="1"/>
    <col min="15356" max="15356" width="18.625" style="38" customWidth="1"/>
    <col min="15357" max="15357" width="6" style="38" customWidth="1"/>
    <col min="15358" max="15358" width="15.875" style="38" customWidth="1"/>
    <col min="15359" max="15359" width="10.375" style="38" customWidth="1"/>
    <col min="15360" max="15360" width="32.125" style="38" customWidth="1"/>
    <col min="15361" max="15361" width="13.625" style="38" customWidth="1"/>
    <col min="15362" max="15362" width="7.125" style="38" customWidth="1"/>
    <col min="15363" max="15363" width="4.375" style="38" customWidth="1"/>
    <col min="15364" max="15366" width="9.375" style="38" customWidth="1"/>
    <col min="15367" max="15609" width="9" style="38"/>
    <col min="15610" max="15610" width="1" style="38" customWidth="1"/>
    <col min="15611" max="15611" width="16.25" style="38" customWidth="1"/>
    <col min="15612" max="15612" width="18.625" style="38" customWidth="1"/>
    <col min="15613" max="15613" width="6" style="38" customWidth="1"/>
    <col min="15614" max="15614" width="15.875" style="38" customWidth="1"/>
    <col min="15615" max="15615" width="10.375" style="38" customWidth="1"/>
    <col min="15616" max="15616" width="32.125" style="38" customWidth="1"/>
    <col min="15617" max="15617" width="13.625" style="38" customWidth="1"/>
    <col min="15618" max="15618" width="7.125" style="38" customWidth="1"/>
    <col min="15619" max="15619" width="4.375" style="38" customWidth="1"/>
    <col min="15620" max="15622" width="9.375" style="38" customWidth="1"/>
    <col min="15623" max="15865" width="9" style="38"/>
    <col min="15866" max="15866" width="1" style="38" customWidth="1"/>
    <col min="15867" max="15867" width="16.25" style="38" customWidth="1"/>
    <col min="15868" max="15868" width="18.625" style="38" customWidth="1"/>
    <col min="15869" max="15869" width="6" style="38" customWidth="1"/>
    <col min="15870" max="15870" width="15.875" style="38" customWidth="1"/>
    <col min="15871" max="15871" width="10.375" style="38" customWidth="1"/>
    <col min="15872" max="15872" width="32.125" style="38" customWidth="1"/>
    <col min="15873" max="15873" width="13.625" style="38" customWidth="1"/>
    <col min="15874" max="15874" width="7.125" style="38" customWidth="1"/>
    <col min="15875" max="15875" width="4.375" style="38" customWidth="1"/>
    <col min="15876" max="15878" width="9.375" style="38" customWidth="1"/>
    <col min="15879" max="16121" width="9" style="38"/>
    <col min="16122" max="16122" width="1" style="38" customWidth="1"/>
    <col min="16123" max="16123" width="16.25" style="38" customWidth="1"/>
    <col min="16124" max="16124" width="18.625" style="38" customWidth="1"/>
    <col min="16125" max="16125" width="6" style="38" customWidth="1"/>
    <col min="16126" max="16126" width="15.875" style="38" customWidth="1"/>
    <col min="16127" max="16127" width="10.375" style="38" customWidth="1"/>
    <col min="16128" max="16128" width="32.125" style="38" customWidth="1"/>
    <col min="16129" max="16129" width="13.625" style="38" customWidth="1"/>
    <col min="16130" max="16130" width="7.125" style="38" customWidth="1"/>
    <col min="16131" max="16131" width="4.375" style="38" customWidth="1"/>
    <col min="16132" max="16134" width="9.375" style="38" customWidth="1"/>
    <col min="16135" max="16384" width="9" style="38"/>
  </cols>
  <sheetData>
    <row r="1" spans="2:12" ht="75" customHeight="1" x14ac:dyDescent="0.2">
      <c r="F1" s="373" t="s">
        <v>104</v>
      </c>
      <c r="J1" s="374" t="s">
        <v>89</v>
      </c>
    </row>
    <row r="2" spans="2:12" ht="56.25" customHeight="1" x14ac:dyDescent="0.2">
      <c r="C2" s="42" t="s">
        <v>105</v>
      </c>
      <c r="D2" s="424" t="s">
        <v>69</v>
      </c>
      <c r="E2" s="424"/>
      <c r="G2" s="54"/>
    </row>
    <row r="3" spans="2:12" ht="37.5" customHeight="1" x14ac:dyDescent="0.2">
      <c r="C3" s="43" t="s">
        <v>11</v>
      </c>
      <c r="D3" s="425" t="s">
        <v>113</v>
      </c>
      <c r="E3" s="425"/>
      <c r="F3" s="425"/>
      <c r="G3" s="425"/>
      <c r="H3" s="425"/>
    </row>
    <row r="4" spans="2:12" ht="21" customHeight="1" x14ac:dyDescent="0.2">
      <c r="B4" s="34"/>
      <c r="D4" s="425"/>
      <c r="E4" s="425"/>
      <c r="F4" s="425"/>
      <c r="G4" s="425"/>
      <c r="H4" s="425"/>
    </row>
    <row r="5" spans="2:12" ht="11.25" customHeight="1" x14ac:dyDescent="0.25">
      <c r="B5" s="426"/>
      <c r="C5" s="426"/>
      <c r="D5" s="426"/>
      <c r="E5" s="426"/>
      <c r="G5" s="56">
        <v>0.4</v>
      </c>
    </row>
    <row r="6" spans="2:12" ht="39" customHeight="1" x14ac:dyDescent="0.2">
      <c r="C6" s="82" t="s">
        <v>91</v>
      </c>
      <c r="D6" s="83" t="s">
        <v>92</v>
      </c>
      <c r="E6" s="84" t="s">
        <v>97</v>
      </c>
      <c r="F6" s="84" t="s">
        <v>98</v>
      </c>
      <c r="G6" s="85" t="s">
        <v>99</v>
      </c>
      <c r="H6" s="86" t="s">
        <v>106</v>
      </c>
      <c r="I6" s="86" t="s">
        <v>107</v>
      </c>
      <c r="J6" s="86" t="s">
        <v>108</v>
      </c>
      <c r="K6" s="96" t="s">
        <v>103</v>
      </c>
    </row>
    <row r="7" spans="2:12" ht="33.75" customHeight="1" x14ac:dyDescent="0.2">
      <c r="B7" s="427" t="s">
        <v>90</v>
      </c>
      <c r="C7" s="290">
        <v>43352</v>
      </c>
      <c r="D7" s="291">
        <v>43173</v>
      </c>
      <c r="E7" s="88" t="s">
        <v>51</v>
      </c>
      <c r="F7" s="88" t="s">
        <v>109</v>
      </c>
      <c r="G7" s="89">
        <v>357000</v>
      </c>
      <c r="H7" s="89">
        <v>6283.2</v>
      </c>
      <c r="I7" s="305"/>
      <c r="J7" s="89">
        <v>363283.20000000001</v>
      </c>
      <c r="K7" s="90">
        <v>1045</v>
      </c>
      <c r="L7" s="57"/>
    </row>
    <row r="8" spans="2:12" ht="40.5" customHeight="1" x14ac:dyDescent="0.2">
      <c r="B8" s="427"/>
      <c r="C8" s="290">
        <v>44150</v>
      </c>
      <c r="D8" s="291">
        <v>44167</v>
      </c>
      <c r="E8" s="88" t="s">
        <v>50</v>
      </c>
      <c r="F8" s="88" t="s">
        <v>110</v>
      </c>
      <c r="G8" s="89">
        <v>25000</v>
      </c>
      <c r="H8" s="89">
        <v>440</v>
      </c>
      <c r="I8" s="305"/>
      <c r="J8" s="89">
        <v>25440</v>
      </c>
      <c r="K8" s="90">
        <v>880</v>
      </c>
      <c r="L8" s="57"/>
    </row>
    <row r="9" spans="2:12" ht="39.6" hidden="1" x14ac:dyDescent="0.25">
      <c r="C9" s="306" t="s">
        <v>46</v>
      </c>
      <c r="D9" s="240" t="s">
        <v>47</v>
      </c>
      <c r="E9" s="241" t="s">
        <v>58</v>
      </c>
      <c r="F9" s="241" t="s">
        <v>59</v>
      </c>
      <c r="G9" s="307" t="s">
        <v>60</v>
      </c>
      <c r="H9" s="308" t="s">
        <v>61</v>
      </c>
      <c r="I9" s="308" t="s">
        <v>63</v>
      </c>
      <c r="J9" s="308" t="s">
        <v>4</v>
      </c>
      <c r="K9" s="309" t="s">
        <v>62</v>
      </c>
    </row>
    <row r="10" spans="2:12" x14ac:dyDescent="0.2">
      <c r="C10" s="161"/>
      <c r="D10" s="161"/>
      <c r="E10" s="91"/>
      <c r="F10" s="91"/>
      <c r="G10" s="114"/>
      <c r="H10" s="79">
        <f>IF(ISBLANK(GSCapital[[#This Row],[UnrecoverableNotCalc]]), GSCapital[[#This Row],[Cost(Excl HST)]]*0.0176, 0)</f>
        <v>0</v>
      </c>
      <c r="I10" s="115"/>
      <c r="J10" s="79">
        <f>GSCapital[Cost(Excl HST)]+GSCapital[Unrecoverable]+GSCapital[[#This Row],[UnrecoverableNotCalc]]</f>
        <v>0</v>
      </c>
      <c r="K10" s="369"/>
      <c r="L10" s="57"/>
    </row>
    <row r="11" spans="2:12" ht="13.15" x14ac:dyDescent="0.25">
      <c r="C11" s="161"/>
      <c r="D11" s="162"/>
      <c r="E11" s="91"/>
      <c r="F11" s="91"/>
      <c r="G11" s="114"/>
      <c r="H11" s="79">
        <f>IF(ISBLANK(GSCapital[[#This Row],[UnrecoverableNotCalc]]), GSCapital[[#This Row],[Cost(Excl HST)]]*0.0176, 0)</f>
        <v>0</v>
      </c>
      <c r="I11" s="115"/>
      <c r="J11" s="116">
        <f>GSCapital[Cost(Excl HST)]+GSCapital[Unrecoverable]+GSCapital[[#This Row],[UnrecoverableNotCalc]]</f>
        <v>0</v>
      </c>
      <c r="K11" s="369"/>
    </row>
    <row r="12" spans="2:12" ht="13.15" x14ac:dyDescent="0.25">
      <c r="C12" s="161"/>
      <c r="D12" s="162"/>
      <c r="E12" s="91"/>
      <c r="F12" s="91"/>
      <c r="G12" s="114"/>
      <c r="H12" s="79">
        <f>IF(ISBLANK(GSCapital[[#This Row],[UnrecoverableNotCalc]]), GSCapital[[#This Row],[Cost(Excl HST)]]*0.0176, 0)</f>
        <v>0</v>
      </c>
      <c r="I12" s="115"/>
      <c r="J12" s="116">
        <f>GSCapital[Cost(Excl HST)]+GSCapital[Unrecoverable]+GSCapital[[#This Row],[UnrecoverableNotCalc]]</f>
        <v>0</v>
      </c>
      <c r="K12" s="369"/>
    </row>
    <row r="13" spans="2:12" ht="13.15" x14ac:dyDescent="0.25">
      <c r="C13" s="161"/>
      <c r="D13" s="162"/>
      <c r="E13" s="91"/>
      <c r="F13" s="91"/>
      <c r="G13" s="114"/>
      <c r="H13" s="79">
        <f>IF(ISBLANK(GSCapital[[#This Row],[UnrecoverableNotCalc]]), GSCapital[[#This Row],[Cost(Excl HST)]]*0.0176, 0)</f>
        <v>0</v>
      </c>
      <c r="I13" s="115"/>
      <c r="J13" s="116">
        <f>GSCapital[Cost(Excl HST)]+GSCapital[Unrecoverable]+GSCapital[[#This Row],[UnrecoverableNotCalc]]</f>
        <v>0</v>
      </c>
      <c r="K13" s="369"/>
    </row>
    <row r="14" spans="2:12" x14ac:dyDescent="0.2">
      <c r="C14" s="161"/>
      <c r="D14" s="162"/>
      <c r="E14" s="91"/>
      <c r="F14" s="91"/>
      <c r="G14" s="114"/>
      <c r="H14" s="79">
        <f>IF(ISBLANK(GSCapital[[#This Row],[UnrecoverableNotCalc]]), GSCapital[[#This Row],[Cost(Excl HST)]]*0.0176, 0)</f>
        <v>0</v>
      </c>
      <c r="I14" s="115"/>
      <c r="J14" s="116">
        <f>GSCapital[Cost(Excl HST)]+GSCapital[Unrecoverable]+GSCapital[[#This Row],[UnrecoverableNotCalc]]</f>
        <v>0</v>
      </c>
      <c r="K14" s="369"/>
    </row>
    <row r="15" spans="2:12" ht="13.15" x14ac:dyDescent="0.25">
      <c r="C15" s="161"/>
      <c r="D15" s="162"/>
      <c r="E15" s="91"/>
      <c r="F15" s="91"/>
      <c r="G15" s="114"/>
      <c r="H15" s="79">
        <f>IF(ISBLANK(GSCapital[[#This Row],[UnrecoverableNotCalc]]), GSCapital[[#This Row],[Cost(Excl HST)]]*0.0176, 0)</f>
        <v>0</v>
      </c>
      <c r="I15" s="115"/>
      <c r="J15" s="116">
        <f>GSCapital[Cost(Excl HST)]+GSCapital[Unrecoverable]+GSCapital[[#This Row],[UnrecoverableNotCalc]]</f>
        <v>0</v>
      </c>
      <c r="K15" s="369"/>
    </row>
    <row r="16" spans="2:12" ht="13.15" x14ac:dyDescent="0.25">
      <c r="C16" s="161"/>
      <c r="D16" s="251"/>
      <c r="E16" s="164"/>
      <c r="F16" s="164"/>
      <c r="G16" s="165"/>
      <c r="H16" s="79">
        <f>IF(ISBLANK(GSCapital[[#This Row],[UnrecoverableNotCalc]]), GSCapital[[#This Row],[Cost(Excl HST)]]*0.0176, 0)</f>
        <v>0</v>
      </c>
      <c r="I16" s="115"/>
      <c r="J16" s="116">
        <f>GSCapital[Cost(Excl HST)]+GSCapital[Unrecoverable]+GSCapital[[#This Row],[UnrecoverableNotCalc]]</f>
        <v>0</v>
      </c>
      <c r="K16" s="369"/>
    </row>
    <row r="17" spans="3:11" ht="13.15" x14ac:dyDescent="0.25">
      <c r="C17" s="161"/>
      <c r="D17" s="251"/>
      <c r="E17" s="164"/>
      <c r="F17" s="164"/>
      <c r="G17" s="165"/>
      <c r="H17" s="79">
        <f>IF(ISBLANK(GSCapital[[#This Row],[UnrecoverableNotCalc]]), GSCapital[[#This Row],[Cost(Excl HST)]]*0.0176, 0)</f>
        <v>0</v>
      </c>
      <c r="I17" s="115"/>
      <c r="J17" s="116">
        <f>GSCapital[Cost(Excl HST)]+GSCapital[Unrecoverable]+GSCapital[[#This Row],[UnrecoverableNotCalc]]</f>
        <v>0</v>
      </c>
      <c r="K17" s="369"/>
    </row>
    <row r="18" spans="3:11" ht="13.15" x14ac:dyDescent="0.25">
      <c r="C18" s="161"/>
      <c r="D18" s="251"/>
      <c r="E18" s="164"/>
      <c r="F18" s="164"/>
      <c r="G18" s="165"/>
      <c r="H18" s="79">
        <f>IF(ISBLANK(GSCapital[[#This Row],[UnrecoverableNotCalc]]), GSCapital[[#This Row],[Cost(Excl HST)]]*0.0176, 0)</f>
        <v>0</v>
      </c>
      <c r="I18" s="115"/>
      <c r="J18" s="116">
        <f>GSCapital[Cost(Excl HST)]+GSCapital[Unrecoverable]+GSCapital[[#This Row],[UnrecoverableNotCalc]]</f>
        <v>0</v>
      </c>
      <c r="K18" s="369"/>
    </row>
    <row r="19" spans="3:11" ht="13.15" x14ac:dyDescent="0.25">
      <c r="C19" s="161"/>
      <c r="D19" s="251"/>
      <c r="E19" s="164"/>
      <c r="F19" s="164"/>
      <c r="G19" s="165"/>
      <c r="H19" s="79">
        <f>IF(ISBLANK(GSCapital[[#This Row],[UnrecoverableNotCalc]]), GSCapital[[#This Row],[Cost(Excl HST)]]*0.0176, 0)</f>
        <v>0</v>
      </c>
      <c r="I19" s="115"/>
      <c r="J19" s="116">
        <f>GSCapital[Cost(Excl HST)]+GSCapital[Unrecoverable]+GSCapital[[#This Row],[UnrecoverableNotCalc]]</f>
        <v>0</v>
      </c>
      <c r="K19" s="369"/>
    </row>
    <row r="20" spans="3:11" x14ac:dyDescent="0.2">
      <c r="C20" s="161"/>
      <c r="D20" s="251"/>
      <c r="E20" s="164"/>
      <c r="F20" s="164"/>
      <c r="G20" s="165"/>
      <c r="H20" s="116">
        <f>IF(ISBLANK(GSCapital[[#This Row],[UnrecoverableNotCalc]]), GSCapital[[#This Row],[Cost(Excl HST)]]*0.0176, 0)</f>
        <v>0</v>
      </c>
      <c r="I20" s="115"/>
      <c r="J20" s="116">
        <f>GSCapital[Cost(Excl HST)]+GSCapital[Unrecoverable]+GSCapital[[#This Row],[UnrecoverableNotCalc]]</f>
        <v>0</v>
      </c>
      <c r="K20" s="369"/>
    </row>
    <row r="21" spans="3:11" x14ac:dyDescent="0.2">
      <c r="C21" s="161"/>
      <c r="D21" s="251"/>
      <c r="E21" s="164"/>
      <c r="F21" s="164"/>
      <c r="G21" s="165"/>
      <c r="H21" s="116">
        <f>IF(ISBLANK(GSCapital[[#This Row],[UnrecoverableNotCalc]]), GSCapital[[#This Row],[Cost(Excl HST)]]*0.0176, 0)</f>
        <v>0</v>
      </c>
      <c r="I21" s="115"/>
      <c r="J21" s="384">
        <f>GSCapital[Cost(Excl HST)]+GSCapital[Unrecoverable]+GSCapital[[#This Row],[UnrecoverableNotCalc]]</f>
        <v>0</v>
      </c>
      <c r="K21" s="369"/>
    </row>
    <row r="22" spans="3:11" x14ac:dyDescent="0.2">
      <c r="C22" s="161"/>
      <c r="D22" s="251"/>
      <c r="E22" s="164"/>
      <c r="F22" s="164"/>
      <c r="G22" s="165"/>
      <c r="H22" s="116">
        <f>IF(ISBLANK(GSCapital[[#This Row],[UnrecoverableNotCalc]]), GSCapital[[#This Row],[Cost(Excl HST)]]*0.0176, 0)</f>
        <v>0</v>
      </c>
      <c r="I22" s="115"/>
      <c r="J22" s="384">
        <f>GSCapital[Cost(Excl HST)]+GSCapital[Unrecoverable]+GSCapital[[#This Row],[UnrecoverableNotCalc]]</f>
        <v>0</v>
      </c>
      <c r="K22" s="369"/>
    </row>
    <row r="23" spans="3:11" x14ac:dyDescent="0.2">
      <c r="C23" s="161"/>
      <c r="D23" s="251"/>
      <c r="E23" s="164"/>
      <c r="F23" s="164"/>
      <c r="G23" s="165"/>
      <c r="H23" s="116">
        <f>IF(ISBLANK(GSCapital[[#This Row],[UnrecoverableNotCalc]]), GSCapital[[#This Row],[Cost(Excl HST)]]*0.0176, 0)</f>
        <v>0</v>
      </c>
      <c r="I23" s="115"/>
      <c r="J23" s="384">
        <f>GSCapital[Cost(Excl HST)]+GSCapital[Unrecoverable]+GSCapital[[#This Row],[UnrecoverableNotCalc]]</f>
        <v>0</v>
      </c>
      <c r="K23" s="369"/>
    </row>
    <row r="24" spans="3:11" x14ac:dyDescent="0.2">
      <c r="C24" s="161"/>
      <c r="D24" s="251"/>
      <c r="E24" s="164"/>
      <c r="F24" s="164"/>
      <c r="G24" s="165"/>
      <c r="H24" s="116">
        <f>IF(ISBLANK(GSCapital[[#This Row],[UnrecoverableNotCalc]]), GSCapital[[#This Row],[Cost(Excl HST)]]*0.0176, 0)</f>
        <v>0</v>
      </c>
      <c r="I24" s="115"/>
      <c r="J24" s="384">
        <f>GSCapital[Cost(Excl HST)]+GSCapital[Unrecoverable]+GSCapital[[#This Row],[UnrecoverableNotCalc]]</f>
        <v>0</v>
      </c>
      <c r="K24" s="369"/>
    </row>
    <row r="25" spans="3:11" ht="15.75" thickBot="1" x14ac:dyDescent="0.25">
      <c r="C25" s="50"/>
      <c r="F25" s="41" t="s">
        <v>39</v>
      </c>
      <c r="G25" s="122">
        <f>SUM(GSCapital[[#All],[Cost(Excl HST)]])</f>
        <v>0</v>
      </c>
      <c r="H25" s="122">
        <f>SUM(GSCapital[Unrecoverable])</f>
        <v>0</v>
      </c>
      <c r="I25" s="122">
        <f>SUM(GSCapital[Total])</f>
        <v>0</v>
      </c>
    </row>
    <row r="26" spans="3:11" ht="15" thickTop="1" x14ac:dyDescent="0.2">
      <c r="C26" s="112"/>
      <c r="D26" s="113"/>
    </row>
    <row r="27" spans="3:11" x14ac:dyDescent="0.2">
      <c r="C27" s="113"/>
      <c r="D27" s="113"/>
    </row>
  </sheetData>
  <sheetProtection selectLockedCells="1"/>
  <mergeCells count="4">
    <mergeCell ref="D3:H4"/>
    <mergeCell ref="B5:E5"/>
    <mergeCell ref="B7:B8"/>
    <mergeCell ref="D2:E2"/>
  </mergeCells>
  <conditionalFormatting sqref="K10:K24">
    <cfRule type="expression" dxfId="195" priority="1" stopIfTrue="1">
      <formula>$J10=0</formula>
    </cfRule>
    <cfRule type="expression" dxfId="194" priority="4">
      <formula>$K10=0</formula>
    </cfRule>
  </conditionalFormatting>
  <dataValidations xWindow="181" yWindow="660" count="2">
    <dataValidation type="date" allowBlank="1" showErrorMessage="1" errorTitle="Error" error="Please enter a valid date in the format YYYY/MM/DD" sqref="C10:D24">
      <formula1>41640</formula1>
      <formula2>73415</formula2>
    </dataValidation>
    <dataValidation type="decimal" allowBlank="1" showInputMessage="1" showErrorMessage="1" errorTitle="Error" error="Please enter a dollar value" sqref="G10:I24">
      <formula1>0</formula1>
      <formula2>500000000</formula2>
    </dataValidation>
  </dataValidations>
  <pageMargins left="0.25" right="0.25" top="0.76124999999999998" bottom="0.75" header="0.3" footer="0.3"/>
  <pageSetup paperSize="5" scale="74" fitToHeight="0" orientation="landscape" horizontalDpi="300" verticalDpi="300" r:id="rId1"/>
  <headerFooter>
    <oddHeader>&amp;L&amp;G&amp;C&amp;"Arial,Bold"&amp;18&amp;K000000Goods and Services Capital Costs&amp;R&amp;"-,Bold"Municipal Disaster Recovery Assistance Program</oddHeader>
    <oddFooter>&amp;RPage &amp;P of &amp;N</oddFooter>
  </headerFooter>
  <drawing r:id="rId2"/>
  <legacyDrawingHF r:id="rId3"/>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pageSetUpPr fitToPage="1"/>
  </sheetPr>
  <dimension ref="B1:U50"/>
  <sheetViews>
    <sheetView showGridLines="0" zoomScale="90" zoomScaleNormal="90" zoomScalePageLayoutView="80" workbookViewId="0">
      <pane ySplit="9" topLeftCell="A10" activePane="bottomLeft" state="frozen"/>
      <selection pane="bottomLeft" activeCell="C26" sqref="C26"/>
    </sheetView>
  </sheetViews>
  <sheetFormatPr defaultRowHeight="14.25" x14ac:dyDescent="0.2"/>
  <cols>
    <col min="1" max="1" width="1" style="15" customWidth="1"/>
    <col min="2" max="2" width="2.625" style="15" customWidth="1"/>
    <col min="3" max="3" width="17.625" style="15" customWidth="1"/>
    <col min="4" max="4" width="10.75" style="15" customWidth="1"/>
    <col min="5" max="5" width="10.875" style="15" customWidth="1"/>
    <col min="6" max="6" width="10.75" style="15" customWidth="1"/>
    <col min="7" max="7" width="32.625" style="15" customWidth="1"/>
    <col min="8" max="8" width="9.25" style="15" customWidth="1"/>
    <col min="9" max="9" width="12.625" style="15" customWidth="1"/>
    <col min="10" max="10" width="18" style="15" customWidth="1"/>
    <col min="11" max="11" width="22.125" style="15" customWidth="1"/>
    <col min="12" max="12" width="12.375" style="15" customWidth="1"/>
    <col min="13" max="13" width="12.75" style="15" customWidth="1"/>
    <col min="14" max="14" width="12.375" style="15" customWidth="1"/>
    <col min="15" max="15" width="16.625" style="15" customWidth="1"/>
    <col min="16" max="16" width="10.625" style="15" customWidth="1"/>
    <col min="17" max="17" width="27.375" style="15" customWidth="1"/>
    <col min="18" max="18" width="11.125" style="15" customWidth="1"/>
    <col min="19" max="19" width="9" style="15" customWidth="1"/>
    <col min="20" max="20" width="9" style="15"/>
    <col min="21" max="21" width="14.625" style="15" hidden="1" customWidth="1"/>
    <col min="22" max="22" width="6.25" style="15" customWidth="1"/>
    <col min="23" max="23" width="9.75" style="15" customWidth="1"/>
    <col min="24" max="24" width="9.125" style="15" customWidth="1"/>
    <col min="25" max="25" width="8" style="15" customWidth="1"/>
    <col min="26" max="219" width="8" style="15"/>
    <col min="220" max="220" width="1" style="15" customWidth="1"/>
    <col min="221" max="221" width="16.25" style="15" customWidth="1"/>
    <col min="222" max="222" width="18.625" style="15" customWidth="1"/>
    <col min="223" max="223" width="6" style="15" customWidth="1"/>
    <col min="224" max="224" width="15.875" style="15" customWidth="1"/>
    <col min="225" max="225" width="10.375" style="15" customWidth="1"/>
    <col min="226" max="226" width="32.125" style="15" customWidth="1"/>
    <col min="227" max="227" width="13.625" style="15" customWidth="1"/>
    <col min="228" max="228" width="7.125" style="15" customWidth="1"/>
    <col min="229" max="229" width="4.375" style="15" customWidth="1"/>
    <col min="230" max="232" width="9.375" style="15" customWidth="1"/>
    <col min="233" max="475" width="8" style="15"/>
    <col min="476" max="476" width="1" style="15" customWidth="1"/>
    <col min="477" max="477" width="16.25" style="15" customWidth="1"/>
    <col min="478" max="478" width="18.625" style="15" customWidth="1"/>
    <col min="479" max="479" width="6" style="15" customWidth="1"/>
    <col min="480" max="480" width="15.875" style="15" customWidth="1"/>
    <col min="481" max="481" width="10.375" style="15" customWidth="1"/>
    <col min="482" max="482" width="32.125" style="15" customWidth="1"/>
    <col min="483" max="483" width="13.625" style="15" customWidth="1"/>
    <col min="484" max="484" width="7.125" style="15" customWidth="1"/>
    <col min="485" max="485" width="4.375" style="15" customWidth="1"/>
    <col min="486" max="488" width="9.375" style="15" customWidth="1"/>
    <col min="489" max="731" width="8" style="15"/>
    <col min="732" max="732" width="1" style="15" customWidth="1"/>
    <col min="733" max="733" width="16.25" style="15" customWidth="1"/>
    <col min="734" max="734" width="18.625" style="15" customWidth="1"/>
    <col min="735" max="735" width="6" style="15" customWidth="1"/>
    <col min="736" max="736" width="15.875" style="15" customWidth="1"/>
    <col min="737" max="737" width="10.375" style="15" customWidth="1"/>
    <col min="738" max="738" width="32.125" style="15" customWidth="1"/>
    <col min="739" max="739" width="13.625" style="15" customWidth="1"/>
    <col min="740" max="740" width="7.125" style="15" customWidth="1"/>
    <col min="741" max="741" width="4.375" style="15" customWidth="1"/>
    <col min="742" max="744" width="9.375" style="15" customWidth="1"/>
    <col min="745" max="987" width="8" style="15"/>
    <col min="988" max="988" width="1" style="15" customWidth="1"/>
    <col min="989" max="989" width="16.25" style="15" customWidth="1"/>
    <col min="990" max="990" width="18.625" style="15" customWidth="1"/>
    <col min="991" max="991" width="6" style="15" customWidth="1"/>
    <col min="992" max="992" width="15.875" style="15" customWidth="1"/>
    <col min="993" max="993" width="10.375" style="15" customWidth="1"/>
    <col min="994" max="994" width="32.125" style="15" customWidth="1"/>
    <col min="995" max="995" width="13.625" style="15" customWidth="1"/>
    <col min="996" max="996" width="7.125" style="15" customWidth="1"/>
    <col min="997" max="997" width="4.375" style="15" customWidth="1"/>
    <col min="998" max="1000" width="9.375" style="15" customWidth="1"/>
    <col min="1001" max="1243" width="9" style="15"/>
    <col min="1244" max="1244" width="1" style="15" customWidth="1"/>
    <col min="1245" max="1245" width="16.25" style="15" customWidth="1"/>
    <col min="1246" max="1246" width="18.625" style="15" customWidth="1"/>
    <col min="1247" max="1247" width="6" style="15" customWidth="1"/>
    <col min="1248" max="1248" width="15.875" style="15" customWidth="1"/>
    <col min="1249" max="1249" width="10.375" style="15" customWidth="1"/>
    <col min="1250" max="1250" width="32.125" style="15" customWidth="1"/>
    <col min="1251" max="1251" width="13.625" style="15" customWidth="1"/>
    <col min="1252" max="1252" width="7.125" style="15" customWidth="1"/>
    <col min="1253" max="1253" width="4.375" style="15" customWidth="1"/>
    <col min="1254" max="1256" width="9.375" style="15" customWidth="1"/>
    <col min="1257" max="1499" width="8" style="15"/>
    <col min="1500" max="1500" width="1" style="15" customWidth="1"/>
    <col min="1501" max="1501" width="16.25" style="15" customWidth="1"/>
    <col min="1502" max="1502" width="18.625" style="15" customWidth="1"/>
    <col min="1503" max="1503" width="6" style="15" customWidth="1"/>
    <col min="1504" max="1504" width="15.875" style="15" customWidth="1"/>
    <col min="1505" max="1505" width="10.375" style="15" customWidth="1"/>
    <col min="1506" max="1506" width="32.125" style="15" customWidth="1"/>
    <col min="1507" max="1507" width="13.625" style="15" customWidth="1"/>
    <col min="1508" max="1508" width="7.125" style="15" customWidth="1"/>
    <col min="1509" max="1509" width="4.375" style="15" customWidth="1"/>
    <col min="1510" max="1512" width="9.375" style="15" customWidth="1"/>
    <col min="1513" max="1755" width="8" style="15"/>
    <col min="1756" max="1756" width="1" style="15" customWidth="1"/>
    <col min="1757" max="1757" width="16.25" style="15" customWidth="1"/>
    <col min="1758" max="1758" width="18.625" style="15" customWidth="1"/>
    <col min="1759" max="1759" width="6" style="15" customWidth="1"/>
    <col min="1760" max="1760" width="15.875" style="15" customWidth="1"/>
    <col min="1761" max="1761" width="10.375" style="15" customWidth="1"/>
    <col min="1762" max="1762" width="32.125" style="15" customWidth="1"/>
    <col min="1763" max="1763" width="13.625" style="15" customWidth="1"/>
    <col min="1764" max="1764" width="7.125" style="15" customWidth="1"/>
    <col min="1765" max="1765" width="4.375" style="15" customWidth="1"/>
    <col min="1766" max="1768" width="9.375" style="15" customWidth="1"/>
    <col min="1769" max="2011" width="8" style="15"/>
    <col min="2012" max="2012" width="1" style="15" customWidth="1"/>
    <col min="2013" max="2013" width="16.25" style="15" customWidth="1"/>
    <col min="2014" max="2014" width="18.625" style="15" customWidth="1"/>
    <col min="2015" max="2015" width="6" style="15" customWidth="1"/>
    <col min="2016" max="2016" width="15.875" style="15" customWidth="1"/>
    <col min="2017" max="2017" width="10.375" style="15" customWidth="1"/>
    <col min="2018" max="2018" width="32.125" style="15" customWidth="1"/>
    <col min="2019" max="2019" width="13.625" style="15" customWidth="1"/>
    <col min="2020" max="2020" width="7.125" style="15" customWidth="1"/>
    <col min="2021" max="2021" width="4.375" style="15" customWidth="1"/>
    <col min="2022" max="2024" width="9.375" style="15" customWidth="1"/>
    <col min="2025" max="2267" width="9" style="15"/>
    <col min="2268" max="2268" width="1" style="15" customWidth="1"/>
    <col min="2269" max="2269" width="16.25" style="15" customWidth="1"/>
    <col min="2270" max="2270" width="18.625" style="15" customWidth="1"/>
    <col min="2271" max="2271" width="6" style="15" customWidth="1"/>
    <col min="2272" max="2272" width="15.875" style="15" customWidth="1"/>
    <col min="2273" max="2273" width="10.375" style="15" customWidth="1"/>
    <col min="2274" max="2274" width="32.125" style="15" customWidth="1"/>
    <col min="2275" max="2275" width="13.625" style="15" customWidth="1"/>
    <col min="2276" max="2276" width="7.125" style="15" customWidth="1"/>
    <col min="2277" max="2277" width="4.375" style="15" customWidth="1"/>
    <col min="2278" max="2280" width="9.375" style="15" customWidth="1"/>
    <col min="2281" max="2523" width="8" style="15"/>
    <col min="2524" max="2524" width="1" style="15" customWidth="1"/>
    <col min="2525" max="2525" width="16.25" style="15" customWidth="1"/>
    <col min="2526" max="2526" width="18.625" style="15" customWidth="1"/>
    <col min="2527" max="2527" width="6" style="15" customWidth="1"/>
    <col min="2528" max="2528" width="15.875" style="15" customWidth="1"/>
    <col min="2529" max="2529" width="10.375" style="15" customWidth="1"/>
    <col min="2530" max="2530" width="32.125" style="15" customWidth="1"/>
    <col min="2531" max="2531" width="13.625" style="15" customWidth="1"/>
    <col min="2532" max="2532" width="7.125" style="15" customWidth="1"/>
    <col min="2533" max="2533" width="4.375" style="15" customWidth="1"/>
    <col min="2534" max="2536" width="9.375" style="15" customWidth="1"/>
    <col min="2537" max="2779" width="8" style="15"/>
    <col min="2780" max="2780" width="1" style="15" customWidth="1"/>
    <col min="2781" max="2781" width="16.25" style="15" customWidth="1"/>
    <col min="2782" max="2782" width="18.625" style="15" customWidth="1"/>
    <col min="2783" max="2783" width="6" style="15" customWidth="1"/>
    <col min="2784" max="2784" width="15.875" style="15" customWidth="1"/>
    <col min="2785" max="2785" width="10.375" style="15" customWidth="1"/>
    <col min="2786" max="2786" width="32.125" style="15" customWidth="1"/>
    <col min="2787" max="2787" width="13.625" style="15" customWidth="1"/>
    <col min="2788" max="2788" width="7.125" style="15" customWidth="1"/>
    <col min="2789" max="2789" width="4.375" style="15" customWidth="1"/>
    <col min="2790" max="2792" width="9.375" style="15" customWidth="1"/>
    <col min="2793" max="3035" width="8" style="15"/>
    <col min="3036" max="3036" width="1" style="15" customWidth="1"/>
    <col min="3037" max="3037" width="16.25" style="15" customWidth="1"/>
    <col min="3038" max="3038" width="18.625" style="15" customWidth="1"/>
    <col min="3039" max="3039" width="6" style="15" customWidth="1"/>
    <col min="3040" max="3040" width="15.875" style="15" customWidth="1"/>
    <col min="3041" max="3041" width="10.375" style="15" customWidth="1"/>
    <col min="3042" max="3042" width="32.125" style="15" customWidth="1"/>
    <col min="3043" max="3043" width="13.625" style="15" customWidth="1"/>
    <col min="3044" max="3044" width="7.125" style="15" customWidth="1"/>
    <col min="3045" max="3045" width="4.375" style="15" customWidth="1"/>
    <col min="3046" max="3048" width="9.375" style="15" customWidth="1"/>
    <col min="3049" max="3291" width="9" style="15"/>
    <col min="3292" max="3292" width="1" style="15" customWidth="1"/>
    <col min="3293" max="3293" width="16.25" style="15" customWidth="1"/>
    <col min="3294" max="3294" width="18.625" style="15" customWidth="1"/>
    <col min="3295" max="3295" width="6" style="15" customWidth="1"/>
    <col min="3296" max="3296" width="15.875" style="15" customWidth="1"/>
    <col min="3297" max="3297" width="10.375" style="15" customWidth="1"/>
    <col min="3298" max="3298" width="32.125" style="15" customWidth="1"/>
    <col min="3299" max="3299" width="13.625" style="15" customWidth="1"/>
    <col min="3300" max="3300" width="7.125" style="15" customWidth="1"/>
    <col min="3301" max="3301" width="4.375" style="15" customWidth="1"/>
    <col min="3302" max="3304" width="9.375" style="15" customWidth="1"/>
    <col min="3305" max="3547" width="8" style="15"/>
    <col min="3548" max="3548" width="1" style="15" customWidth="1"/>
    <col min="3549" max="3549" width="16.25" style="15" customWidth="1"/>
    <col min="3550" max="3550" width="18.625" style="15" customWidth="1"/>
    <col min="3551" max="3551" width="6" style="15" customWidth="1"/>
    <col min="3552" max="3552" width="15.875" style="15" customWidth="1"/>
    <col min="3553" max="3553" width="10.375" style="15" customWidth="1"/>
    <col min="3554" max="3554" width="32.125" style="15" customWidth="1"/>
    <col min="3555" max="3555" width="13.625" style="15" customWidth="1"/>
    <col min="3556" max="3556" width="7.125" style="15" customWidth="1"/>
    <col min="3557" max="3557" width="4.375" style="15" customWidth="1"/>
    <col min="3558" max="3560" width="9.375" style="15" customWidth="1"/>
    <col min="3561" max="3803" width="8" style="15"/>
    <col min="3804" max="3804" width="1" style="15" customWidth="1"/>
    <col min="3805" max="3805" width="16.25" style="15" customWidth="1"/>
    <col min="3806" max="3806" width="18.625" style="15" customWidth="1"/>
    <col min="3807" max="3807" width="6" style="15" customWidth="1"/>
    <col min="3808" max="3808" width="15.875" style="15" customWidth="1"/>
    <col min="3809" max="3809" width="10.375" style="15" customWidth="1"/>
    <col min="3810" max="3810" width="32.125" style="15" customWidth="1"/>
    <col min="3811" max="3811" width="13.625" style="15" customWidth="1"/>
    <col min="3812" max="3812" width="7.125" style="15" customWidth="1"/>
    <col min="3813" max="3813" width="4.375" style="15" customWidth="1"/>
    <col min="3814" max="3816" width="9.375" style="15" customWidth="1"/>
    <col min="3817" max="4059" width="8" style="15"/>
    <col min="4060" max="4060" width="1" style="15" customWidth="1"/>
    <col min="4061" max="4061" width="16.25" style="15" customWidth="1"/>
    <col min="4062" max="4062" width="18.625" style="15" customWidth="1"/>
    <col min="4063" max="4063" width="6" style="15" customWidth="1"/>
    <col min="4064" max="4064" width="15.875" style="15" customWidth="1"/>
    <col min="4065" max="4065" width="10.375" style="15" customWidth="1"/>
    <col min="4066" max="4066" width="32.125" style="15" customWidth="1"/>
    <col min="4067" max="4067" width="13.625" style="15" customWidth="1"/>
    <col min="4068" max="4068" width="7.125" style="15" customWidth="1"/>
    <col min="4069" max="4069" width="4.375" style="15" customWidth="1"/>
    <col min="4070" max="4072" width="9.375" style="15" customWidth="1"/>
    <col min="4073" max="4315" width="9" style="15"/>
    <col min="4316" max="4316" width="1" style="15" customWidth="1"/>
    <col min="4317" max="4317" width="16.25" style="15" customWidth="1"/>
    <col min="4318" max="4318" width="18.625" style="15" customWidth="1"/>
    <col min="4319" max="4319" width="6" style="15" customWidth="1"/>
    <col min="4320" max="4320" width="15.875" style="15" customWidth="1"/>
    <col min="4321" max="4321" width="10.375" style="15" customWidth="1"/>
    <col min="4322" max="4322" width="32.125" style="15" customWidth="1"/>
    <col min="4323" max="4323" width="13.625" style="15" customWidth="1"/>
    <col min="4324" max="4324" width="7.125" style="15" customWidth="1"/>
    <col min="4325" max="4325" width="4.375" style="15" customWidth="1"/>
    <col min="4326" max="4328" width="9.375" style="15" customWidth="1"/>
    <col min="4329" max="4571" width="8" style="15"/>
    <col min="4572" max="4572" width="1" style="15" customWidth="1"/>
    <col min="4573" max="4573" width="16.25" style="15" customWidth="1"/>
    <col min="4574" max="4574" width="18.625" style="15" customWidth="1"/>
    <col min="4575" max="4575" width="6" style="15" customWidth="1"/>
    <col min="4576" max="4576" width="15.875" style="15" customWidth="1"/>
    <col min="4577" max="4577" width="10.375" style="15" customWidth="1"/>
    <col min="4578" max="4578" width="32.125" style="15" customWidth="1"/>
    <col min="4579" max="4579" width="13.625" style="15" customWidth="1"/>
    <col min="4580" max="4580" width="7.125" style="15" customWidth="1"/>
    <col min="4581" max="4581" width="4.375" style="15" customWidth="1"/>
    <col min="4582" max="4584" width="9.375" style="15" customWidth="1"/>
    <col min="4585" max="4827" width="8" style="15"/>
    <col min="4828" max="4828" width="1" style="15" customWidth="1"/>
    <col min="4829" max="4829" width="16.25" style="15" customWidth="1"/>
    <col min="4830" max="4830" width="18.625" style="15" customWidth="1"/>
    <col min="4831" max="4831" width="6" style="15" customWidth="1"/>
    <col min="4832" max="4832" width="15.875" style="15" customWidth="1"/>
    <col min="4833" max="4833" width="10.375" style="15" customWidth="1"/>
    <col min="4834" max="4834" width="32.125" style="15" customWidth="1"/>
    <col min="4835" max="4835" width="13.625" style="15" customWidth="1"/>
    <col min="4836" max="4836" width="7.125" style="15" customWidth="1"/>
    <col min="4837" max="4837" width="4.375" style="15" customWidth="1"/>
    <col min="4838" max="4840" width="9.375" style="15" customWidth="1"/>
    <col min="4841" max="5083" width="8" style="15"/>
    <col min="5084" max="5084" width="1" style="15" customWidth="1"/>
    <col min="5085" max="5085" width="16.25" style="15" customWidth="1"/>
    <col min="5086" max="5086" width="18.625" style="15" customWidth="1"/>
    <col min="5087" max="5087" width="6" style="15" customWidth="1"/>
    <col min="5088" max="5088" width="15.875" style="15" customWidth="1"/>
    <col min="5089" max="5089" width="10.375" style="15" customWidth="1"/>
    <col min="5090" max="5090" width="32.125" style="15" customWidth="1"/>
    <col min="5091" max="5091" width="13.625" style="15" customWidth="1"/>
    <col min="5092" max="5092" width="7.125" style="15" customWidth="1"/>
    <col min="5093" max="5093" width="4.375" style="15" customWidth="1"/>
    <col min="5094" max="5096" width="9.375" style="15" customWidth="1"/>
    <col min="5097" max="5339" width="9" style="15"/>
    <col min="5340" max="5340" width="1" style="15" customWidth="1"/>
    <col min="5341" max="5341" width="16.25" style="15" customWidth="1"/>
    <col min="5342" max="5342" width="18.625" style="15" customWidth="1"/>
    <col min="5343" max="5343" width="6" style="15" customWidth="1"/>
    <col min="5344" max="5344" width="15.875" style="15" customWidth="1"/>
    <col min="5345" max="5345" width="10.375" style="15" customWidth="1"/>
    <col min="5346" max="5346" width="32.125" style="15" customWidth="1"/>
    <col min="5347" max="5347" width="13.625" style="15" customWidth="1"/>
    <col min="5348" max="5348" width="7.125" style="15" customWidth="1"/>
    <col min="5349" max="5349" width="4.375" style="15" customWidth="1"/>
    <col min="5350" max="5352" width="9.375" style="15" customWidth="1"/>
    <col min="5353" max="5595" width="8" style="15"/>
    <col min="5596" max="5596" width="1" style="15" customWidth="1"/>
    <col min="5597" max="5597" width="16.25" style="15" customWidth="1"/>
    <col min="5598" max="5598" width="18.625" style="15" customWidth="1"/>
    <col min="5599" max="5599" width="6" style="15" customWidth="1"/>
    <col min="5600" max="5600" width="15.875" style="15" customWidth="1"/>
    <col min="5601" max="5601" width="10.375" style="15" customWidth="1"/>
    <col min="5602" max="5602" width="32.125" style="15" customWidth="1"/>
    <col min="5603" max="5603" width="13.625" style="15" customWidth="1"/>
    <col min="5604" max="5604" width="7.125" style="15" customWidth="1"/>
    <col min="5605" max="5605" width="4.375" style="15" customWidth="1"/>
    <col min="5606" max="5608" width="9.375" style="15" customWidth="1"/>
    <col min="5609" max="5851" width="8" style="15"/>
    <col min="5852" max="5852" width="1" style="15" customWidth="1"/>
    <col min="5853" max="5853" width="16.25" style="15" customWidth="1"/>
    <col min="5854" max="5854" width="18.625" style="15" customWidth="1"/>
    <col min="5855" max="5855" width="6" style="15" customWidth="1"/>
    <col min="5856" max="5856" width="15.875" style="15" customWidth="1"/>
    <col min="5857" max="5857" width="10.375" style="15" customWidth="1"/>
    <col min="5858" max="5858" width="32.125" style="15" customWidth="1"/>
    <col min="5859" max="5859" width="13.625" style="15" customWidth="1"/>
    <col min="5860" max="5860" width="7.125" style="15" customWidth="1"/>
    <col min="5861" max="5861" width="4.375" style="15" customWidth="1"/>
    <col min="5862" max="5864" width="9.375" style="15" customWidth="1"/>
    <col min="5865" max="6107" width="8" style="15"/>
    <col min="6108" max="6108" width="1" style="15" customWidth="1"/>
    <col min="6109" max="6109" width="16.25" style="15" customWidth="1"/>
    <col min="6110" max="6110" width="18.625" style="15" customWidth="1"/>
    <col min="6111" max="6111" width="6" style="15" customWidth="1"/>
    <col min="6112" max="6112" width="15.875" style="15" customWidth="1"/>
    <col min="6113" max="6113" width="10.375" style="15" customWidth="1"/>
    <col min="6114" max="6114" width="32.125" style="15" customWidth="1"/>
    <col min="6115" max="6115" width="13.625" style="15" customWidth="1"/>
    <col min="6116" max="6116" width="7.125" style="15" customWidth="1"/>
    <col min="6117" max="6117" width="4.375" style="15" customWidth="1"/>
    <col min="6118" max="6120" width="9.375" style="15" customWidth="1"/>
    <col min="6121" max="6363" width="9" style="15"/>
    <col min="6364" max="6364" width="1" style="15" customWidth="1"/>
    <col min="6365" max="6365" width="16.25" style="15" customWidth="1"/>
    <col min="6366" max="6366" width="18.625" style="15" customWidth="1"/>
    <col min="6367" max="6367" width="6" style="15" customWidth="1"/>
    <col min="6368" max="6368" width="15.875" style="15" customWidth="1"/>
    <col min="6369" max="6369" width="10.375" style="15" customWidth="1"/>
    <col min="6370" max="6370" width="32.125" style="15" customWidth="1"/>
    <col min="6371" max="6371" width="13.625" style="15" customWidth="1"/>
    <col min="6372" max="6372" width="7.125" style="15" customWidth="1"/>
    <col min="6373" max="6373" width="4.375" style="15" customWidth="1"/>
    <col min="6374" max="6376" width="9.375" style="15" customWidth="1"/>
    <col min="6377" max="6619" width="8" style="15"/>
    <col min="6620" max="6620" width="1" style="15" customWidth="1"/>
    <col min="6621" max="6621" width="16.25" style="15" customWidth="1"/>
    <col min="6622" max="6622" width="18.625" style="15" customWidth="1"/>
    <col min="6623" max="6623" width="6" style="15" customWidth="1"/>
    <col min="6624" max="6624" width="15.875" style="15" customWidth="1"/>
    <col min="6625" max="6625" width="10.375" style="15" customWidth="1"/>
    <col min="6626" max="6626" width="32.125" style="15" customWidth="1"/>
    <col min="6627" max="6627" width="13.625" style="15" customWidth="1"/>
    <col min="6628" max="6628" width="7.125" style="15" customWidth="1"/>
    <col min="6629" max="6629" width="4.375" style="15" customWidth="1"/>
    <col min="6630" max="6632" width="9.375" style="15" customWidth="1"/>
    <col min="6633" max="6875" width="8" style="15"/>
    <col min="6876" max="6876" width="1" style="15" customWidth="1"/>
    <col min="6877" max="6877" width="16.25" style="15" customWidth="1"/>
    <col min="6878" max="6878" width="18.625" style="15" customWidth="1"/>
    <col min="6879" max="6879" width="6" style="15" customWidth="1"/>
    <col min="6880" max="6880" width="15.875" style="15" customWidth="1"/>
    <col min="6881" max="6881" width="10.375" style="15" customWidth="1"/>
    <col min="6882" max="6882" width="32.125" style="15" customWidth="1"/>
    <col min="6883" max="6883" width="13.625" style="15" customWidth="1"/>
    <col min="6884" max="6884" width="7.125" style="15" customWidth="1"/>
    <col min="6885" max="6885" width="4.375" style="15" customWidth="1"/>
    <col min="6886" max="6888" width="9.375" style="15" customWidth="1"/>
    <col min="6889" max="7131" width="8" style="15"/>
    <col min="7132" max="7132" width="1" style="15" customWidth="1"/>
    <col min="7133" max="7133" width="16.25" style="15" customWidth="1"/>
    <col min="7134" max="7134" width="18.625" style="15" customWidth="1"/>
    <col min="7135" max="7135" width="6" style="15" customWidth="1"/>
    <col min="7136" max="7136" width="15.875" style="15" customWidth="1"/>
    <col min="7137" max="7137" width="10.375" style="15" customWidth="1"/>
    <col min="7138" max="7138" width="32.125" style="15" customWidth="1"/>
    <col min="7139" max="7139" width="13.625" style="15" customWidth="1"/>
    <col min="7140" max="7140" width="7.125" style="15" customWidth="1"/>
    <col min="7141" max="7141" width="4.375" style="15" customWidth="1"/>
    <col min="7142" max="7144" width="9.375" style="15" customWidth="1"/>
    <col min="7145" max="7387" width="9" style="15"/>
    <col min="7388" max="7388" width="1" style="15" customWidth="1"/>
    <col min="7389" max="7389" width="16.25" style="15" customWidth="1"/>
    <col min="7390" max="7390" width="18.625" style="15" customWidth="1"/>
    <col min="7391" max="7391" width="6" style="15" customWidth="1"/>
    <col min="7392" max="7392" width="15.875" style="15" customWidth="1"/>
    <col min="7393" max="7393" width="10.375" style="15" customWidth="1"/>
    <col min="7394" max="7394" width="32.125" style="15" customWidth="1"/>
    <col min="7395" max="7395" width="13.625" style="15" customWidth="1"/>
    <col min="7396" max="7396" width="7.125" style="15" customWidth="1"/>
    <col min="7397" max="7397" width="4.375" style="15" customWidth="1"/>
    <col min="7398" max="7400" width="9.375" style="15" customWidth="1"/>
    <col min="7401" max="7643" width="8" style="15"/>
    <col min="7644" max="7644" width="1" style="15" customWidth="1"/>
    <col min="7645" max="7645" width="16.25" style="15" customWidth="1"/>
    <col min="7646" max="7646" width="18.625" style="15" customWidth="1"/>
    <col min="7647" max="7647" width="6" style="15" customWidth="1"/>
    <col min="7648" max="7648" width="15.875" style="15" customWidth="1"/>
    <col min="7649" max="7649" width="10.375" style="15" customWidth="1"/>
    <col min="7650" max="7650" width="32.125" style="15" customWidth="1"/>
    <col min="7651" max="7651" width="13.625" style="15" customWidth="1"/>
    <col min="7652" max="7652" width="7.125" style="15" customWidth="1"/>
    <col min="7653" max="7653" width="4.375" style="15" customWidth="1"/>
    <col min="7654" max="7656" width="9.375" style="15" customWidth="1"/>
    <col min="7657" max="7899" width="8" style="15"/>
    <col min="7900" max="7900" width="1" style="15" customWidth="1"/>
    <col min="7901" max="7901" width="16.25" style="15" customWidth="1"/>
    <col min="7902" max="7902" width="18.625" style="15" customWidth="1"/>
    <col min="7903" max="7903" width="6" style="15" customWidth="1"/>
    <col min="7904" max="7904" width="15.875" style="15" customWidth="1"/>
    <col min="7905" max="7905" width="10.375" style="15" customWidth="1"/>
    <col min="7906" max="7906" width="32.125" style="15" customWidth="1"/>
    <col min="7907" max="7907" width="13.625" style="15" customWidth="1"/>
    <col min="7908" max="7908" width="7.125" style="15" customWidth="1"/>
    <col min="7909" max="7909" width="4.375" style="15" customWidth="1"/>
    <col min="7910" max="7912" width="9.375" style="15" customWidth="1"/>
    <col min="7913" max="8155" width="8" style="15"/>
    <col min="8156" max="8156" width="1" style="15" customWidth="1"/>
    <col min="8157" max="8157" width="16.25" style="15" customWidth="1"/>
    <col min="8158" max="8158" width="18.625" style="15" customWidth="1"/>
    <col min="8159" max="8159" width="6" style="15" customWidth="1"/>
    <col min="8160" max="8160" width="15.875" style="15" customWidth="1"/>
    <col min="8161" max="8161" width="10.375" style="15" customWidth="1"/>
    <col min="8162" max="8162" width="32.125" style="15" customWidth="1"/>
    <col min="8163" max="8163" width="13.625" style="15" customWidth="1"/>
    <col min="8164" max="8164" width="7.125" style="15" customWidth="1"/>
    <col min="8165" max="8165" width="4.375" style="15" customWidth="1"/>
    <col min="8166" max="8168" width="9.375" style="15" customWidth="1"/>
    <col min="8169" max="8411" width="9" style="15"/>
    <col min="8412" max="8412" width="1" style="15" customWidth="1"/>
    <col min="8413" max="8413" width="16.25" style="15" customWidth="1"/>
    <col min="8414" max="8414" width="18.625" style="15" customWidth="1"/>
    <col min="8415" max="8415" width="6" style="15" customWidth="1"/>
    <col min="8416" max="8416" width="15.875" style="15" customWidth="1"/>
    <col min="8417" max="8417" width="10.375" style="15" customWidth="1"/>
    <col min="8418" max="8418" width="32.125" style="15" customWidth="1"/>
    <col min="8419" max="8419" width="13.625" style="15" customWidth="1"/>
    <col min="8420" max="8420" width="7.125" style="15" customWidth="1"/>
    <col min="8421" max="8421" width="4.375" style="15" customWidth="1"/>
    <col min="8422" max="8424" width="9.375" style="15" customWidth="1"/>
    <col min="8425" max="8667" width="8" style="15"/>
    <col min="8668" max="8668" width="1" style="15" customWidth="1"/>
    <col min="8669" max="8669" width="16.25" style="15" customWidth="1"/>
    <col min="8670" max="8670" width="18.625" style="15" customWidth="1"/>
    <col min="8671" max="8671" width="6" style="15" customWidth="1"/>
    <col min="8672" max="8672" width="15.875" style="15" customWidth="1"/>
    <col min="8673" max="8673" width="10.375" style="15" customWidth="1"/>
    <col min="8674" max="8674" width="32.125" style="15" customWidth="1"/>
    <col min="8675" max="8675" width="13.625" style="15" customWidth="1"/>
    <col min="8676" max="8676" width="7.125" style="15" customWidth="1"/>
    <col min="8677" max="8677" width="4.375" style="15" customWidth="1"/>
    <col min="8678" max="8680" width="9.375" style="15" customWidth="1"/>
    <col min="8681" max="8923" width="8" style="15"/>
    <col min="8924" max="8924" width="1" style="15" customWidth="1"/>
    <col min="8925" max="8925" width="16.25" style="15" customWidth="1"/>
    <col min="8926" max="8926" width="18.625" style="15" customWidth="1"/>
    <col min="8927" max="8927" width="6" style="15" customWidth="1"/>
    <col min="8928" max="8928" width="15.875" style="15" customWidth="1"/>
    <col min="8929" max="8929" width="10.375" style="15" customWidth="1"/>
    <col min="8930" max="8930" width="32.125" style="15" customWidth="1"/>
    <col min="8931" max="8931" width="13.625" style="15" customWidth="1"/>
    <col min="8932" max="8932" width="7.125" style="15" customWidth="1"/>
    <col min="8933" max="8933" width="4.375" style="15" customWidth="1"/>
    <col min="8934" max="8936" width="9.375" style="15" customWidth="1"/>
    <col min="8937" max="9179" width="8" style="15"/>
    <col min="9180" max="9180" width="1" style="15" customWidth="1"/>
    <col min="9181" max="9181" width="16.25" style="15" customWidth="1"/>
    <col min="9182" max="9182" width="18.625" style="15" customWidth="1"/>
    <col min="9183" max="9183" width="6" style="15" customWidth="1"/>
    <col min="9184" max="9184" width="15.875" style="15" customWidth="1"/>
    <col min="9185" max="9185" width="10.375" style="15" customWidth="1"/>
    <col min="9186" max="9186" width="32.125" style="15" customWidth="1"/>
    <col min="9187" max="9187" width="13.625" style="15" customWidth="1"/>
    <col min="9188" max="9188" width="7.125" style="15" customWidth="1"/>
    <col min="9189" max="9189" width="4.375" style="15" customWidth="1"/>
    <col min="9190" max="9192" width="9.375" style="15" customWidth="1"/>
    <col min="9193" max="9435" width="9" style="15"/>
    <col min="9436" max="9436" width="1" style="15" customWidth="1"/>
    <col min="9437" max="9437" width="16.25" style="15" customWidth="1"/>
    <col min="9438" max="9438" width="18.625" style="15" customWidth="1"/>
    <col min="9439" max="9439" width="6" style="15" customWidth="1"/>
    <col min="9440" max="9440" width="15.875" style="15" customWidth="1"/>
    <col min="9441" max="9441" width="10.375" style="15" customWidth="1"/>
    <col min="9442" max="9442" width="32.125" style="15" customWidth="1"/>
    <col min="9443" max="9443" width="13.625" style="15" customWidth="1"/>
    <col min="9444" max="9444" width="7.125" style="15" customWidth="1"/>
    <col min="9445" max="9445" width="4.375" style="15" customWidth="1"/>
    <col min="9446" max="9448" width="9.375" style="15" customWidth="1"/>
    <col min="9449" max="9691" width="8" style="15"/>
    <col min="9692" max="9692" width="1" style="15" customWidth="1"/>
    <col min="9693" max="9693" width="16.25" style="15" customWidth="1"/>
    <col min="9694" max="9694" width="18.625" style="15" customWidth="1"/>
    <col min="9695" max="9695" width="6" style="15" customWidth="1"/>
    <col min="9696" max="9696" width="15.875" style="15" customWidth="1"/>
    <col min="9697" max="9697" width="10.375" style="15" customWidth="1"/>
    <col min="9698" max="9698" width="32.125" style="15" customWidth="1"/>
    <col min="9699" max="9699" width="13.625" style="15" customWidth="1"/>
    <col min="9700" max="9700" width="7.125" style="15" customWidth="1"/>
    <col min="9701" max="9701" width="4.375" style="15" customWidth="1"/>
    <col min="9702" max="9704" width="9.375" style="15" customWidth="1"/>
    <col min="9705" max="9947" width="8" style="15"/>
    <col min="9948" max="9948" width="1" style="15" customWidth="1"/>
    <col min="9949" max="9949" width="16.25" style="15" customWidth="1"/>
    <col min="9950" max="9950" width="18.625" style="15" customWidth="1"/>
    <col min="9951" max="9951" width="6" style="15" customWidth="1"/>
    <col min="9952" max="9952" width="15.875" style="15" customWidth="1"/>
    <col min="9953" max="9953" width="10.375" style="15" customWidth="1"/>
    <col min="9954" max="9954" width="32.125" style="15" customWidth="1"/>
    <col min="9955" max="9955" width="13.625" style="15" customWidth="1"/>
    <col min="9956" max="9956" width="7.125" style="15" customWidth="1"/>
    <col min="9957" max="9957" width="4.375" style="15" customWidth="1"/>
    <col min="9958" max="9960" width="9.375" style="15" customWidth="1"/>
    <col min="9961" max="10203" width="8" style="15"/>
    <col min="10204" max="10204" width="1" style="15" customWidth="1"/>
    <col min="10205" max="10205" width="16.25" style="15" customWidth="1"/>
    <col min="10206" max="10206" width="18.625" style="15" customWidth="1"/>
    <col min="10207" max="10207" width="6" style="15" customWidth="1"/>
    <col min="10208" max="10208" width="15.875" style="15" customWidth="1"/>
    <col min="10209" max="10209" width="10.375" style="15" customWidth="1"/>
    <col min="10210" max="10210" width="32.125" style="15" customWidth="1"/>
    <col min="10211" max="10211" width="13.625" style="15" customWidth="1"/>
    <col min="10212" max="10212" width="7.125" style="15" customWidth="1"/>
    <col min="10213" max="10213" width="4.375" style="15" customWidth="1"/>
    <col min="10214" max="10216" width="9.375" style="15" customWidth="1"/>
    <col min="10217" max="10459" width="9" style="15"/>
    <col min="10460" max="10460" width="1" style="15" customWidth="1"/>
    <col min="10461" max="10461" width="16.25" style="15" customWidth="1"/>
    <col min="10462" max="10462" width="18.625" style="15" customWidth="1"/>
    <col min="10463" max="10463" width="6" style="15" customWidth="1"/>
    <col min="10464" max="10464" width="15.875" style="15" customWidth="1"/>
    <col min="10465" max="10465" width="10.375" style="15" customWidth="1"/>
    <col min="10466" max="10466" width="32.125" style="15" customWidth="1"/>
    <col min="10467" max="10467" width="13.625" style="15" customWidth="1"/>
    <col min="10468" max="10468" width="7.125" style="15" customWidth="1"/>
    <col min="10469" max="10469" width="4.375" style="15" customWidth="1"/>
    <col min="10470" max="10472" width="9.375" style="15" customWidth="1"/>
    <col min="10473" max="10715" width="8" style="15"/>
    <col min="10716" max="10716" width="1" style="15" customWidth="1"/>
    <col min="10717" max="10717" width="16.25" style="15" customWidth="1"/>
    <col min="10718" max="10718" width="18.625" style="15" customWidth="1"/>
    <col min="10719" max="10719" width="6" style="15" customWidth="1"/>
    <col min="10720" max="10720" width="15.875" style="15" customWidth="1"/>
    <col min="10721" max="10721" width="10.375" style="15" customWidth="1"/>
    <col min="10722" max="10722" width="32.125" style="15" customWidth="1"/>
    <col min="10723" max="10723" width="13.625" style="15" customWidth="1"/>
    <col min="10724" max="10724" width="7.125" style="15" customWidth="1"/>
    <col min="10725" max="10725" width="4.375" style="15" customWidth="1"/>
    <col min="10726" max="10728" width="9.375" style="15" customWidth="1"/>
    <col min="10729" max="10971" width="8" style="15"/>
    <col min="10972" max="10972" width="1" style="15" customWidth="1"/>
    <col min="10973" max="10973" width="16.25" style="15" customWidth="1"/>
    <col min="10974" max="10974" width="18.625" style="15" customWidth="1"/>
    <col min="10975" max="10975" width="6" style="15" customWidth="1"/>
    <col min="10976" max="10976" width="15.875" style="15" customWidth="1"/>
    <col min="10977" max="10977" width="10.375" style="15" customWidth="1"/>
    <col min="10978" max="10978" width="32.125" style="15" customWidth="1"/>
    <col min="10979" max="10979" width="13.625" style="15" customWidth="1"/>
    <col min="10980" max="10980" width="7.125" style="15" customWidth="1"/>
    <col min="10981" max="10981" width="4.375" style="15" customWidth="1"/>
    <col min="10982" max="10984" width="9.375" style="15" customWidth="1"/>
    <col min="10985" max="11227" width="8" style="15"/>
    <col min="11228" max="11228" width="1" style="15" customWidth="1"/>
    <col min="11229" max="11229" width="16.25" style="15" customWidth="1"/>
    <col min="11230" max="11230" width="18.625" style="15" customWidth="1"/>
    <col min="11231" max="11231" width="6" style="15" customWidth="1"/>
    <col min="11232" max="11232" width="15.875" style="15" customWidth="1"/>
    <col min="11233" max="11233" width="10.375" style="15" customWidth="1"/>
    <col min="11234" max="11234" width="32.125" style="15" customWidth="1"/>
    <col min="11235" max="11235" width="13.625" style="15" customWidth="1"/>
    <col min="11236" max="11236" width="7.125" style="15" customWidth="1"/>
    <col min="11237" max="11237" width="4.375" style="15" customWidth="1"/>
    <col min="11238" max="11240" width="9.375" style="15" customWidth="1"/>
    <col min="11241" max="11483" width="9" style="15"/>
    <col min="11484" max="11484" width="1" style="15" customWidth="1"/>
    <col min="11485" max="11485" width="16.25" style="15" customWidth="1"/>
    <col min="11486" max="11486" width="18.625" style="15" customWidth="1"/>
    <col min="11487" max="11487" width="6" style="15" customWidth="1"/>
    <col min="11488" max="11488" width="15.875" style="15" customWidth="1"/>
    <col min="11489" max="11489" width="10.375" style="15" customWidth="1"/>
    <col min="11490" max="11490" width="32.125" style="15" customWidth="1"/>
    <col min="11491" max="11491" width="13.625" style="15" customWidth="1"/>
    <col min="11492" max="11492" width="7.125" style="15" customWidth="1"/>
    <col min="11493" max="11493" width="4.375" style="15" customWidth="1"/>
    <col min="11494" max="11496" width="9.375" style="15" customWidth="1"/>
    <col min="11497" max="11739" width="8" style="15"/>
    <col min="11740" max="11740" width="1" style="15" customWidth="1"/>
    <col min="11741" max="11741" width="16.25" style="15" customWidth="1"/>
    <col min="11742" max="11742" width="18.625" style="15" customWidth="1"/>
    <col min="11743" max="11743" width="6" style="15" customWidth="1"/>
    <col min="11744" max="11744" width="15.875" style="15" customWidth="1"/>
    <col min="11745" max="11745" width="10.375" style="15" customWidth="1"/>
    <col min="11746" max="11746" width="32.125" style="15" customWidth="1"/>
    <col min="11747" max="11747" width="13.625" style="15" customWidth="1"/>
    <col min="11748" max="11748" width="7.125" style="15" customWidth="1"/>
    <col min="11749" max="11749" width="4.375" style="15" customWidth="1"/>
    <col min="11750" max="11752" width="9.375" style="15" customWidth="1"/>
    <col min="11753" max="11995" width="8" style="15"/>
    <col min="11996" max="11996" width="1" style="15" customWidth="1"/>
    <col min="11997" max="11997" width="16.25" style="15" customWidth="1"/>
    <col min="11998" max="11998" width="18.625" style="15" customWidth="1"/>
    <col min="11999" max="11999" width="6" style="15" customWidth="1"/>
    <col min="12000" max="12000" width="15.875" style="15" customWidth="1"/>
    <col min="12001" max="12001" width="10.375" style="15" customWidth="1"/>
    <col min="12002" max="12002" width="32.125" style="15" customWidth="1"/>
    <col min="12003" max="12003" width="13.625" style="15" customWidth="1"/>
    <col min="12004" max="12004" width="7.125" style="15" customWidth="1"/>
    <col min="12005" max="12005" width="4.375" style="15" customWidth="1"/>
    <col min="12006" max="12008" width="9.375" style="15" customWidth="1"/>
    <col min="12009" max="12251" width="8" style="15"/>
    <col min="12252" max="12252" width="1" style="15" customWidth="1"/>
    <col min="12253" max="12253" width="16.25" style="15" customWidth="1"/>
    <col min="12254" max="12254" width="18.625" style="15" customWidth="1"/>
    <col min="12255" max="12255" width="6" style="15" customWidth="1"/>
    <col min="12256" max="12256" width="15.875" style="15" customWidth="1"/>
    <col min="12257" max="12257" width="10.375" style="15" customWidth="1"/>
    <col min="12258" max="12258" width="32.125" style="15" customWidth="1"/>
    <col min="12259" max="12259" width="13.625" style="15" customWidth="1"/>
    <col min="12260" max="12260" width="7.125" style="15" customWidth="1"/>
    <col min="12261" max="12261" width="4.375" style="15" customWidth="1"/>
    <col min="12262" max="12264" width="9.375" style="15" customWidth="1"/>
    <col min="12265" max="12507" width="9" style="15"/>
    <col min="12508" max="12508" width="1" style="15" customWidth="1"/>
    <col min="12509" max="12509" width="16.25" style="15" customWidth="1"/>
    <col min="12510" max="12510" width="18.625" style="15" customWidth="1"/>
    <col min="12511" max="12511" width="6" style="15" customWidth="1"/>
    <col min="12512" max="12512" width="15.875" style="15" customWidth="1"/>
    <col min="12513" max="12513" width="10.375" style="15" customWidth="1"/>
    <col min="12514" max="12514" width="32.125" style="15" customWidth="1"/>
    <col min="12515" max="12515" width="13.625" style="15" customWidth="1"/>
    <col min="12516" max="12516" width="7.125" style="15" customWidth="1"/>
    <col min="12517" max="12517" width="4.375" style="15" customWidth="1"/>
    <col min="12518" max="12520" width="9.375" style="15" customWidth="1"/>
    <col min="12521" max="12763" width="8" style="15"/>
    <col min="12764" max="12764" width="1" style="15" customWidth="1"/>
    <col min="12765" max="12765" width="16.25" style="15" customWidth="1"/>
    <col min="12766" max="12766" width="18.625" style="15" customWidth="1"/>
    <col min="12767" max="12767" width="6" style="15" customWidth="1"/>
    <col min="12768" max="12768" width="15.875" style="15" customWidth="1"/>
    <col min="12769" max="12769" width="10.375" style="15" customWidth="1"/>
    <col min="12770" max="12770" width="32.125" style="15" customWidth="1"/>
    <col min="12771" max="12771" width="13.625" style="15" customWidth="1"/>
    <col min="12772" max="12772" width="7.125" style="15" customWidth="1"/>
    <col min="12773" max="12773" width="4.375" style="15" customWidth="1"/>
    <col min="12774" max="12776" width="9.375" style="15" customWidth="1"/>
    <col min="12777" max="13019" width="8" style="15"/>
    <col min="13020" max="13020" width="1" style="15" customWidth="1"/>
    <col min="13021" max="13021" width="16.25" style="15" customWidth="1"/>
    <col min="13022" max="13022" width="18.625" style="15" customWidth="1"/>
    <col min="13023" max="13023" width="6" style="15" customWidth="1"/>
    <col min="13024" max="13024" width="15.875" style="15" customWidth="1"/>
    <col min="13025" max="13025" width="10.375" style="15" customWidth="1"/>
    <col min="13026" max="13026" width="32.125" style="15" customWidth="1"/>
    <col min="13027" max="13027" width="13.625" style="15" customWidth="1"/>
    <col min="13028" max="13028" width="7.125" style="15" customWidth="1"/>
    <col min="13029" max="13029" width="4.375" style="15" customWidth="1"/>
    <col min="13030" max="13032" width="9.375" style="15" customWidth="1"/>
    <col min="13033" max="13275" width="8" style="15"/>
    <col min="13276" max="13276" width="1" style="15" customWidth="1"/>
    <col min="13277" max="13277" width="16.25" style="15" customWidth="1"/>
    <col min="13278" max="13278" width="18.625" style="15" customWidth="1"/>
    <col min="13279" max="13279" width="6" style="15" customWidth="1"/>
    <col min="13280" max="13280" width="15.875" style="15" customWidth="1"/>
    <col min="13281" max="13281" width="10.375" style="15" customWidth="1"/>
    <col min="13282" max="13282" width="32.125" style="15" customWidth="1"/>
    <col min="13283" max="13283" width="13.625" style="15" customWidth="1"/>
    <col min="13284" max="13284" width="7.125" style="15" customWidth="1"/>
    <col min="13285" max="13285" width="4.375" style="15" customWidth="1"/>
    <col min="13286" max="13288" width="9.375" style="15" customWidth="1"/>
    <col min="13289" max="13531" width="9" style="15"/>
    <col min="13532" max="13532" width="1" style="15" customWidth="1"/>
    <col min="13533" max="13533" width="16.25" style="15" customWidth="1"/>
    <col min="13534" max="13534" width="18.625" style="15" customWidth="1"/>
    <col min="13535" max="13535" width="6" style="15" customWidth="1"/>
    <col min="13536" max="13536" width="15.875" style="15" customWidth="1"/>
    <col min="13537" max="13537" width="10.375" style="15" customWidth="1"/>
    <col min="13538" max="13538" width="32.125" style="15" customWidth="1"/>
    <col min="13539" max="13539" width="13.625" style="15" customWidth="1"/>
    <col min="13540" max="13540" width="7.125" style="15" customWidth="1"/>
    <col min="13541" max="13541" width="4.375" style="15" customWidth="1"/>
    <col min="13542" max="13544" width="9.375" style="15" customWidth="1"/>
    <col min="13545" max="13787" width="8" style="15"/>
    <col min="13788" max="13788" width="1" style="15" customWidth="1"/>
    <col min="13789" max="13789" width="16.25" style="15" customWidth="1"/>
    <col min="13790" max="13790" width="18.625" style="15" customWidth="1"/>
    <col min="13791" max="13791" width="6" style="15" customWidth="1"/>
    <col min="13792" max="13792" width="15.875" style="15" customWidth="1"/>
    <col min="13793" max="13793" width="10.375" style="15" customWidth="1"/>
    <col min="13794" max="13794" width="32.125" style="15" customWidth="1"/>
    <col min="13795" max="13795" width="13.625" style="15" customWidth="1"/>
    <col min="13796" max="13796" width="7.125" style="15" customWidth="1"/>
    <col min="13797" max="13797" width="4.375" style="15" customWidth="1"/>
    <col min="13798" max="13800" width="9.375" style="15" customWidth="1"/>
    <col min="13801" max="14043" width="8" style="15"/>
    <col min="14044" max="14044" width="1" style="15" customWidth="1"/>
    <col min="14045" max="14045" width="16.25" style="15" customWidth="1"/>
    <col min="14046" max="14046" width="18.625" style="15" customWidth="1"/>
    <col min="14047" max="14047" width="6" style="15" customWidth="1"/>
    <col min="14048" max="14048" width="15.875" style="15" customWidth="1"/>
    <col min="14049" max="14049" width="10.375" style="15" customWidth="1"/>
    <col min="14050" max="14050" width="32.125" style="15" customWidth="1"/>
    <col min="14051" max="14051" width="13.625" style="15" customWidth="1"/>
    <col min="14052" max="14052" width="7.125" style="15" customWidth="1"/>
    <col min="14053" max="14053" width="4.375" style="15" customWidth="1"/>
    <col min="14054" max="14056" width="9.375" style="15" customWidth="1"/>
    <col min="14057" max="14299" width="8" style="15"/>
    <col min="14300" max="14300" width="1" style="15" customWidth="1"/>
    <col min="14301" max="14301" width="16.25" style="15" customWidth="1"/>
    <col min="14302" max="14302" width="18.625" style="15" customWidth="1"/>
    <col min="14303" max="14303" width="6" style="15" customWidth="1"/>
    <col min="14304" max="14304" width="15.875" style="15" customWidth="1"/>
    <col min="14305" max="14305" width="10.375" style="15" customWidth="1"/>
    <col min="14306" max="14306" width="32.125" style="15" customWidth="1"/>
    <col min="14307" max="14307" width="13.625" style="15" customWidth="1"/>
    <col min="14308" max="14308" width="7.125" style="15" customWidth="1"/>
    <col min="14309" max="14309" width="4.375" style="15" customWidth="1"/>
    <col min="14310" max="14312" width="9.375" style="15" customWidth="1"/>
    <col min="14313" max="14555" width="9" style="15"/>
    <col min="14556" max="14556" width="1" style="15" customWidth="1"/>
    <col min="14557" max="14557" width="16.25" style="15" customWidth="1"/>
    <col min="14558" max="14558" width="18.625" style="15" customWidth="1"/>
    <col min="14559" max="14559" width="6" style="15" customWidth="1"/>
    <col min="14560" max="14560" width="15.875" style="15" customWidth="1"/>
    <col min="14561" max="14561" width="10.375" style="15" customWidth="1"/>
    <col min="14562" max="14562" width="32.125" style="15" customWidth="1"/>
    <col min="14563" max="14563" width="13.625" style="15" customWidth="1"/>
    <col min="14564" max="14564" width="7.125" style="15" customWidth="1"/>
    <col min="14565" max="14565" width="4.375" style="15" customWidth="1"/>
    <col min="14566" max="14568" width="9.375" style="15" customWidth="1"/>
    <col min="14569" max="14811" width="8" style="15"/>
    <col min="14812" max="14812" width="1" style="15" customWidth="1"/>
    <col min="14813" max="14813" width="16.25" style="15" customWidth="1"/>
    <col min="14814" max="14814" width="18.625" style="15" customWidth="1"/>
    <col min="14815" max="14815" width="6" style="15" customWidth="1"/>
    <col min="14816" max="14816" width="15.875" style="15" customWidth="1"/>
    <col min="14817" max="14817" width="10.375" style="15" customWidth="1"/>
    <col min="14818" max="14818" width="32.125" style="15" customWidth="1"/>
    <col min="14819" max="14819" width="13.625" style="15" customWidth="1"/>
    <col min="14820" max="14820" width="7.125" style="15" customWidth="1"/>
    <col min="14821" max="14821" width="4.375" style="15" customWidth="1"/>
    <col min="14822" max="14824" width="9.375" style="15" customWidth="1"/>
    <col min="14825" max="15067" width="8" style="15"/>
    <col min="15068" max="15068" width="1" style="15" customWidth="1"/>
    <col min="15069" max="15069" width="16.25" style="15" customWidth="1"/>
    <col min="15070" max="15070" width="18.625" style="15" customWidth="1"/>
    <col min="15071" max="15071" width="6" style="15" customWidth="1"/>
    <col min="15072" max="15072" width="15.875" style="15" customWidth="1"/>
    <col min="15073" max="15073" width="10.375" style="15" customWidth="1"/>
    <col min="15074" max="15074" width="32.125" style="15" customWidth="1"/>
    <col min="15075" max="15075" width="13.625" style="15" customWidth="1"/>
    <col min="15076" max="15076" width="7.125" style="15" customWidth="1"/>
    <col min="15077" max="15077" width="4.375" style="15" customWidth="1"/>
    <col min="15078" max="15080" width="9.375" style="15" customWidth="1"/>
    <col min="15081" max="15323" width="8" style="15"/>
    <col min="15324" max="15324" width="1" style="15" customWidth="1"/>
    <col min="15325" max="15325" width="16.25" style="15" customWidth="1"/>
    <col min="15326" max="15326" width="18.625" style="15" customWidth="1"/>
    <col min="15327" max="15327" width="6" style="15" customWidth="1"/>
    <col min="15328" max="15328" width="15.875" style="15" customWidth="1"/>
    <col min="15329" max="15329" width="10.375" style="15" customWidth="1"/>
    <col min="15330" max="15330" width="32.125" style="15" customWidth="1"/>
    <col min="15331" max="15331" width="13.625" style="15" customWidth="1"/>
    <col min="15332" max="15332" width="7.125" style="15" customWidth="1"/>
    <col min="15333" max="15333" width="4.375" style="15" customWidth="1"/>
    <col min="15334" max="15336" width="9.375" style="15" customWidth="1"/>
    <col min="15337" max="15579" width="9" style="15"/>
    <col min="15580" max="15580" width="1" style="15" customWidth="1"/>
    <col min="15581" max="15581" width="16.25" style="15" customWidth="1"/>
    <col min="15582" max="15582" width="18.625" style="15" customWidth="1"/>
    <col min="15583" max="15583" width="6" style="15" customWidth="1"/>
    <col min="15584" max="15584" width="15.875" style="15" customWidth="1"/>
    <col min="15585" max="15585" width="10.375" style="15" customWidth="1"/>
    <col min="15586" max="15586" width="32.125" style="15" customWidth="1"/>
    <col min="15587" max="15587" width="13.625" style="15" customWidth="1"/>
    <col min="15588" max="15588" width="7.125" style="15" customWidth="1"/>
    <col min="15589" max="15589" width="4.375" style="15" customWidth="1"/>
    <col min="15590" max="15592" width="9.375" style="15" customWidth="1"/>
    <col min="15593" max="15835" width="8" style="15"/>
    <col min="15836" max="15836" width="1" style="15" customWidth="1"/>
    <col min="15837" max="15837" width="16.25" style="15" customWidth="1"/>
    <col min="15838" max="15838" width="18.625" style="15" customWidth="1"/>
    <col min="15839" max="15839" width="6" style="15" customWidth="1"/>
    <col min="15840" max="15840" width="15.875" style="15" customWidth="1"/>
    <col min="15841" max="15841" width="10.375" style="15" customWidth="1"/>
    <col min="15842" max="15842" width="32.125" style="15" customWidth="1"/>
    <col min="15843" max="15843" width="13.625" style="15" customWidth="1"/>
    <col min="15844" max="15844" width="7.125" style="15" customWidth="1"/>
    <col min="15845" max="15845" width="4.375" style="15" customWidth="1"/>
    <col min="15846" max="15848" width="9.375" style="15" customWidth="1"/>
    <col min="15849" max="16091" width="8" style="15"/>
    <col min="16092" max="16092" width="1" style="15" customWidth="1"/>
    <col min="16093" max="16093" width="16.25" style="15" customWidth="1"/>
    <col min="16094" max="16094" width="18.625" style="15" customWidth="1"/>
    <col min="16095" max="16095" width="6" style="15" customWidth="1"/>
    <col min="16096" max="16096" width="15.875" style="15" customWidth="1"/>
    <col min="16097" max="16097" width="10.375" style="15" customWidth="1"/>
    <col min="16098" max="16098" width="32.125" style="15" customWidth="1"/>
    <col min="16099" max="16099" width="13.625" style="15" customWidth="1"/>
    <col min="16100" max="16100" width="7.125" style="15" customWidth="1"/>
    <col min="16101" max="16101" width="4.375" style="15" customWidth="1"/>
    <col min="16102" max="16104" width="9.375" style="15" customWidth="1"/>
    <col min="16105" max="16384" width="9" style="15"/>
  </cols>
  <sheetData>
    <row r="1" spans="2:21" ht="69" customHeight="1" x14ac:dyDescent="0.2">
      <c r="H1" s="375" t="s">
        <v>111</v>
      </c>
      <c r="M1" s="376"/>
      <c r="N1" s="376" t="s">
        <v>89</v>
      </c>
    </row>
    <row r="2" spans="2:21" s="5" customFormat="1" ht="30" customHeight="1" x14ac:dyDescent="0.2">
      <c r="C2" s="42" t="s">
        <v>68</v>
      </c>
      <c r="D2" s="424" t="str">
        <f>'0.Page d''accueil'!F5</f>
        <v>Municipalité de référence</v>
      </c>
      <c r="E2" s="424"/>
      <c r="F2" s="424"/>
      <c r="G2"/>
      <c r="H2" s="3"/>
      <c r="J2" s="4"/>
      <c r="K2" s="4"/>
      <c r="U2" s="15" t="s">
        <v>16</v>
      </c>
    </row>
    <row r="3" spans="2:21" s="5" customFormat="1" ht="40.5" customHeight="1" thickBot="1" x14ac:dyDescent="0.25">
      <c r="C3" s="26" t="s">
        <v>88</v>
      </c>
      <c r="D3" s="428" t="s">
        <v>114</v>
      </c>
      <c r="E3" s="428"/>
      <c r="F3" s="428"/>
      <c r="G3" s="428"/>
      <c r="H3" s="428"/>
      <c r="I3" s="428"/>
      <c r="J3" s="428"/>
      <c r="K3" s="428"/>
      <c r="L3" s="428"/>
      <c r="M3" s="428"/>
      <c r="N3" s="428"/>
      <c r="U3" s="5" t="s">
        <v>26</v>
      </c>
    </row>
    <row r="4" spans="2:21" s="38" customFormat="1" ht="13.15" hidden="1" x14ac:dyDescent="0.25">
      <c r="C4" s="38" t="s">
        <v>16</v>
      </c>
      <c r="D4" s="46"/>
      <c r="E4" s="46"/>
      <c r="F4" s="46"/>
      <c r="G4" s="46"/>
      <c r="H4" s="46"/>
      <c r="I4" s="46"/>
      <c r="J4" s="46"/>
      <c r="K4" s="46"/>
      <c r="L4" s="46"/>
      <c r="M4" s="46"/>
      <c r="N4" s="46"/>
    </row>
    <row r="5" spans="2:21" s="38" customFormat="1" ht="13.15" hidden="1" x14ac:dyDescent="0.25">
      <c r="C5" s="38" t="s">
        <v>26</v>
      </c>
      <c r="D5" s="46"/>
      <c r="E5" s="46"/>
      <c r="F5" s="46"/>
      <c r="G5" s="46"/>
      <c r="H5" s="46"/>
      <c r="I5" s="46"/>
      <c r="J5" s="46"/>
      <c r="K5" s="46"/>
      <c r="L5" s="46"/>
      <c r="M5" s="46"/>
      <c r="N5" s="46"/>
    </row>
    <row r="6" spans="2:21" s="38" customFormat="1" ht="13.15" hidden="1" x14ac:dyDescent="0.25">
      <c r="C6" s="38" t="s">
        <v>30</v>
      </c>
      <c r="D6" s="46"/>
      <c r="E6" s="46"/>
      <c r="F6" s="46"/>
      <c r="G6" s="46"/>
      <c r="H6" s="46"/>
      <c r="I6" s="46"/>
      <c r="J6" s="46"/>
      <c r="K6" s="46"/>
      <c r="L6" s="46"/>
      <c r="M6" s="46"/>
      <c r="N6" s="46"/>
    </row>
    <row r="7" spans="2:21" s="5" customFormat="1" ht="9" hidden="1" customHeight="1" thickBot="1" x14ac:dyDescent="0.3">
      <c r="C7" s="38" t="s">
        <v>21</v>
      </c>
      <c r="D7" s="49"/>
      <c r="E7" s="49"/>
      <c r="F7" s="49"/>
    </row>
    <row r="8" spans="2:21" ht="44.25" customHeight="1" x14ac:dyDescent="0.2">
      <c r="H8" s="430" t="s">
        <v>119</v>
      </c>
      <c r="I8" s="431"/>
      <c r="J8" s="431"/>
      <c r="K8" s="348" t="s">
        <v>120</v>
      </c>
    </row>
    <row r="9" spans="2:21" s="5" customFormat="1" ht="57.75" customHeight="1" x14ac:dyDescent="0.2">
      <c r="C9" s="359" t="s">
        <v>115</v>
      </c>
      <c r="D9" s="360" t="s">
        <v>116</v>
      </c>
      <c r="E9" s="360" t="s">
        <v>91</v>
      </c>
      <c r="F9" s="359" t="s">
        <v>92</v>
      </c>
      <c r="G9" s="360" t="s">
        <v>117</v>
      </c>
      <c r="H9" s="361" t="s">
        <v>118</v>
      </c>
      <c r="I9" s="362" t="s">
        <v>121</v>
      </c>
      <c r="J9" s="363" t="s">
        <v>122</v>
      </c>
      <c r="K9" s="364" t="s">
        <v>123</v>
      </c>
      <c r="L9" s="365" t="s">
        <v>124</v>
      </c>
      <c r="M9" s="366" t="s">
        <v>103</v>
      </c>
      <c r="N9" s="360" t="s">
        <v>125</v>
      </c>
      <c r="O9" s="7"/>
      <c r="P9" s="7"/>
      <c r="Q9" s="7"/>
      <c r="R9" s="7"/>
      <c r="S9" s="7"/>
      <c r="T9" s="9"/>
    </row>
    <row r="10" spans="2:21" s="5" customFormat="1" ht="41.25" customHeight="1" x14ac:dyDescent="0.2">
      <c r="B10" s="429" t="s">
        <v>90</v>
      </c>
      <c r="C10" s="349" t="s">
        <v>217</v>
      </c>
      <c r="D10" s="350" t="s">
        <v>126</v>
      </c>
      <c r="E10" s="351">
        <v>42772</v>
      </c>
      <c r="F10" s="351">
        <v>42772</v>
      </c>
      <c r="G10" s="352" t="s">
        <v>129</v>
      </c>
      <c r="H10" s="353">
        <v>6</v>
      </c>
      <c r="I10" s="354">
        <v>45</v>
      </c>
      <c r="J10" s="355" t="str">
        <f>IF(D10="R",Table1319[[#This Row],[Heures suppl. Travaillées]]*Table1319[[#This Row],[Taux des heures suppl.]],"P Only")</f>
        <v>P Only</v>
      </c>
      <c r="K10" s="356" t="s">
        <v>34</v>
      </c>
      <c r="L10" s="357" t="s">
        <v>35</v>
      </c>
      <c r="M10" s="358">
        <v>27</v>
      </c>
      <c r="N10" s="173">
        <v>288</v>
      </c>
    </row>
    <row r="11" spans="2:21" s="5" customFormat="1" ht="38.25" x14ac:dyDescent="0.2">
      <c r="B11" s="429"/>
      <c r="C11" s="196" t="s">
        <v>43</v>
      </c>
      <c r="D11" s="197" t="s">
        <v>128</v>
      </c>
      <c r="E11" s="318">
        <v>44369</v>
      </c>
      <c r="F11" s="318">
        <v>44392</v>
      </c>
      <c r="G11" s="198" t="s">
        <v>130</v>
      </c>
      <c r="H11" s="199"/>
      <c r="I11" s="200"/>
      <c r="J11" s="149" t="str">
        <f>IF(D11="R",Table1319[[#This Row],[Heures suppl. Travaillées]]*Table1319[[#This Row],[Taux des heures suppl.]],"P Only")</f>
        <v>P Only</v>
      </c>
      <c r="K11" s="201">
        <v>950</v>
      </c>
      <c r="L11" s="202" t="s">
        <v>52</v>
      </c>
      <c r="M11" s="203">
        <v>801</v>
      </c>
      <c r="N11" s="204">
        <v>1007</v>
      </c>
    </row>
    <row r="12" spans="2:21" s="5" customFormat="1" ht="52.9" hidden="1" x14ac:dyDescent="0.25">
      <c r="C12" s="205" t="s">
        <v>5</v>
      </c>
      <c r="D12" s="183" t="s">
        <v>25</v>
      </c>
      <c r="E12" s="183" t="s">
        <v>46</v>
      </c>
      <c r="F12" s="206" t="s">
        <v>47</v>
      </c>
      <c r="G12" s="183" t="s">
        <v>3</v>
      </c>
      <c r="H12" s="22" t="s">
        <v>27</v>
      </c>
      <c r="I12" s="23" t="s">
        <v>28</v>
      </c>
      <c r="J12" s="150" t="s">
        <v>29</v>
      </c>
      <c r="K12" s="207" t="s">
        <v>31</v>
      </c>
      <c r="L12" s="208" t="s">
        <v>33</v>
      </c>
      <c r="M12" s="209" t="s">
        <v>13</v>
      </c>
      <c r="N12" s="183" t="s">
        <v>24</v>
      </c>
    </row>
    <row r="13" spans="2:21" s="5" customFormat="1" ht="12.75" x14ac:dyDescent="0.2">
      <c r="C13" s="212"/>
      <c r="D13" s="210" t="s">
        <v>127</v>
      </c>
      <c r="E13" s="252"/>
      <c r="F13" s="252"/>
      <c r="G13" s="213"/>
      <c r="H13" s="214"/>
      <c r="I13" s="211"/>
      <c r="J13" s="215" t="str">
        <f>IF(D13="P",EmplOperating[[#This Row],[OT Hours Worked (Regular Only)]]*EmplOperating[[#This Row],[Overtime Hourly Wage (Regular Only)]],"P Only")</f>
        <v>P Only</v>
      </c>
      <c r="K13" s="216"/>
      <c r="L13" s="211"/>
      <c r="M13" s="370"/>
      <c r="N13" s="187">
        <f>IF(EmplOperating[[#This Row],[(R), (TE) or (BF)]]="R",SUM(EmplOperating[[#This Row],[Total Wage (Regular Only)]],#REF!,EmplOperating[[#This Row],[Expenses]]),SUM(EmplOperating[[#This Row],[Total Wage (TE or BF)]:[Expenses]]))</f>
        <v>0</v>
      </c>
    </row>
    <row r="14" spans="2:21" s="5" customFormat="1" ht="12.75" x14ac:dyDescent="0.2">
      <c r="C14" s="212"/>
      <c r="D14" s="210" t="s">
        <v>127</v>
      </c>
      <c r="E14" s="252"/>
      <c r="F14" s="252"/>
      <c r="G14" s="213"/>
      <c r="H14" s="214"/>
      <c r="I14" s="211"/>
      <c r="J14" s="215" t="str">
        <f>IF(D14="P",EmplOperating[[#This Row],[OT Hours Worked (Regular Only)]]*EmplOperating[[#This Row],[Overtime Hourly Wage (Regular Only)]],"P Only")</f>
        <v>P Only</v>
      </c>
      <c r="K14" s="216"/>
      <c r="L14" s="211"/>
      <c r="M14" s="370"/>
      <c r="N14" s="187">
        <f>IF(EmplOperating[[#This Row],[(R), (TE) or (BF)]]="R",SUM(EmplOperating[[#This Row],[Total Wage (Regular Only)]],#REF!,EmplOperating[[#This Row],[Expenses]]),SUM(EmplOperating[[#This Row],[Total Wage (TE or BF)]:[Expenses]]))</f>
        <v>0</v>
      </c>
    </row>
    <row r="15" spans="2:21" s="5" customFormat="1" ht="12.75" x14ac:dyDescent="0.2">
      <c r="C15" s="212"/>
      <c r="D15" s="210" t="s">
        <v>127</v>
      </c>
      <c r="E15" s="252"/>
      <c r="F15" s="252"/>
      <c r="G15" s="213"/>
      <c r="H15" s="214"/>
      <c r="I15" s="211"/>
      <c r="J15" s="215" t="str">
        <f>IF(D15="P",EmplOperating[[#This Row],[OT Hours Worked (Regular Only)]]*EmplOperating[[#This Row],[Overtime Hourly Wage (Regular Only)]],"P Only")</f>
        <v>P Only</v>
      </c>
      <c r="K15" s="216"/>
      <c r="L15" s="211"/>
      <c r="M15" s="370"/>
      <c r="N15" s="187">
        <f>IF(EmplOperating[[#This Row],[(R), (TE) or (BF)]]="R",SUM(EmplOperating[[#This Row],[Total Wage (Regular Only)]],#REF!,EmplOperating[[#This Row],[Expenses]]),SUM(EmplOperating[[#This Row],[Total Wage (TE or BF)]:[Expenses]]))</f>
        <v>0</v>
      </c>
    </row>
    <row r="16" spans="2:21" s="5" customFormat="1" ht="12.75" x14ac:dyDescent="0.2">
      <c r="C16" s="212"/>
      <c r="D16" s="210" t="s">
        <v>127</v>
      </c>
      <c r="E16" s="252"/>
      <c r="F16" s="252"/>
      <c r="G16" s="213"/>
      <c r="H16" s="214"/>
      <c r="I16" s="211"/>
      <c r="J16" s="215" t="str">
        <f>IF(D16="P",EmplOperating[[#This Row],[OT Hours Worked (Regular Only)]]*EmplOperating[[#This Row],[Overtime Hourly Wage (Regular Only)]],"P Only")</f>
        <v>P Only</v>
      </c>
      <c r="K16" s="216"/>
      <c r="L16" s="211"/>
      <c r="M16" s="370"/>
      <c r="N16" s="187">
        <f>IF(EmplOperating[[#This Row],[(R), (TE) or (BF)]]="R",SUM(EmplOperating[[#This Row],[Total Wage (Regular Only)]],#REF!,EmplOperating[[#This Row],[Expenses]]),SUM(EmplOperating[[#This Row],[Total Wage (TE or BF)]:[Expenses]]))</f>
        <v>0</v>
      </c>
    </row>
    <row r="17" spans="3:15" s="5" customFormat="1" ht="12.75" x14ac:dyDescent="0.2">
      <c r="C17" s="212"/>
      <c r="D17" s="210" t="s">
        <v>127</v>
      </c>
      <c r="E17" s="252"/>
      <c r="F17" s="252"/>
      <c r="G17" s="213"/>
      <c r="H17" s="214"/>
      <c r="I17" s="211"/>
      <c r="J17" s="215" t="str">
        <f>IF(D17="P",EmplOperating[[#This Row],[OT Hours Worked (Regular Only)]]*EmplOperating[[#This Row],[Overtime Hourly Wage (Regular Only)]],"P Only")</f>
        <v>P Only</v>
      </c>
      <c r="K17" s="216"/>
      <c r="L17" s="211"/>
      <c r="M17" s="370"/>
      <c r="N17" s="187">
        <f>IF(EmplOperating[[#This Row],[(R), (TE) or (BF)]]="R",SUM(EmplOperating[[#This Row],[Total Wage (Regular Only)]],#REF!,EmplOperating[[#This Row],[Expenses]]),SUM(EmplOperating[[#This Row],[Total Wage (TE or BF)]:[Expenses]]))</f>
        <v>0</v>
      </c>
    </row>
    <row r="18" spans="3:15" s="5" customFormat="1" ht="12.75" x14ac:dyDescent="0.2">
      <c r="C18" s="212"/>
      <c r="D18" s="210" t="s">
        <v>127</v>
      </c>
      <c r="E18" s="252"/>
      <c r="F18" s="252"/>
      <c r="G18" s="213"/>
      <c r="H18" s="214"/>
      <c r="I18" s="211"/>
      <c r="J18" s="215" t="str">
        <f>IF(D18="P",EmplOperating[[#This Row],[OT Hours Worked (Regular Only)]]*EmplOperating[[#This Row],[Overtime Hourly Wage (Regular Only)]],"P Only")</f>
        <v>P Only</v>
      </c>
      <c r="K18" s="216"/>
      <c r="L18" s="211"/>
      <c r="M18" s="370"/>
      <c r="N18" s="187">
        <f>IF(EmplOperating[[#This Row],[(R), (TE) or (BF)]]="R",SUM(EmplOperating[[#This Row],[Total Wage (Regular Only)]],#REF!,EmplOperating[[#This Row],[Expenses]]),SUM(EmplOperating[[#This Row],[Total Wage (TE or BF)]:[Expenses]]))</f>
        <v>0</v>
      </c>
    </row>
    <row r="19" spans="3:15" x14ac:dyDescent="0.2">
      <c r="C19" s="293"/>
      <c r="D19" s="210" t="s">
        <v>127</v>
      </c>
      <c r="E19" s="252"/>
      <c r="F19" s="252"/>
      <c r="G19" s="223"/>
      <c r="H19" s="214"/>
      <c r="I19" s="211"/>
      <c r="J19" s="215" t="str">
        <f>IF(D19="P",EmplOperating[[#This Row],[OT Hours Worked (Regular Only)]]*EmplOperating[[#This Row],[Overtime Hourly Wage (Regular Only)]],"P Only")</f>
        <v>P Only</v>
      </c>
      <c r="K19" s="216"/>
      <c r="L19" s="211"/>
      <c r="M19" s="370"/>
      <c r="N19" s="237">
        <f>IF(EmplOperating[[#This Row],[(R), (TE) or (BF)]]="R",SUM(EmplOperating[[#This Row],[Total Wage (Regular Only)]],#REF!,EmplOperating[[#This Row],[Expenses]]),SUM(EmplOperating[[#This Row],[Total Wage (TE or BF)]:[Expenses]]))</f>
        <v>0</v>
      </c>
    </row>
    <row r="20" spans="3:15" x14ac:dyDescent="0.2">
      <c r="C20" s="293"/>
      <c r="D20" s="210" t="s">
        <v>127</v>
      </c>
      <c r="E20" s="252"/>
      <c r="F20" s="252"/>
      <c r="G20" s="223"/>
      <c r="H20" s="214"/>
      <c r="I20" s="211"/>
      <c r="J20" s="215" t="str">
        <f>IF(D20="P",EmplOperating[[#This Row],[OT Hours Worked (Regular Only)]]*EmplOperating[[#This Row],[Overtime Hourly Wage (Regular Only)]],"P Only")</f>
        <v>P Only</v>
      </c>
      <c r="K20" s="216"/>
      <c r="L20" s="211"/>
      <c r="M20" s="370"/>
      <c r="N20" s="237">
        <f>IF(EmplOperating[[#This Row],[(R), (TE) or (BF)]]="R",SUM(EmplOperating[[#This Row],[Total Wage (Regular Only)]],#REF!,EmplOperating[[#This Row],[Expenses]]),SUM(EmplOperating[[#This Row],[Total Wage (TE or BF)]:[Expenses]]))</f>
        <v>0</v>
      </c>
      <c r="O20" s="5"/>
    </row>
    <row r="21" spans="3:15" x14ac:dyDescent="0.2">
      <c r="C21" s="293"/>
      <c r="D21" s="210" t="s">
        <v>127</v>
      </c>
      <c r="E21" s="252"/>
      <c r="F21" s="252"/>
      <c r="G21" s="223"/>
      <c r="H21" s="214"/>
      <c r="I21" s="211"/>
      <c r="J21" s="215" t="str">
        <f>IF(D21="P",EmplOperating[[#This Row],[OT Hours Worked (Regular Only)]]*EmplOperating[[#This Row],[Overtime Hourly Wage (Regular Only)]],"P Only")</f>
        <v>P Only</v>
      </c>
      <c r="K21" s="216"/>
      <c r="L21" s="211"/>
      <c r="M21" s="370"/>
      <c r="N21" s="237">
        <f>IF(EmplOperating[[#This Row],[(R), (TE) or (BF)]]="R",SUM(EmplOperating[[#This Row],[Total Wage (Regular Only)]],#REF!,EmplOperating[[#This Row],[Expenses]]),SUM(EmplOperating[[#This Row],[Total Wage (TE or BF)]:[Expenses]]))</f>
        <v>0</v>
      </c>
      <c r="O21" s="5"/>
    </row>
    <row r="22" spans="3:15" x14ac:dyDescent="0.2">
      <c r="C22" s="293"/>
      <c r="D22" s="210" t="s">
        <v>127</v>
      </c>
      <c r="E22" s="252"/>
      <c r="F22" s="252"/>
      <c r="G22" s="223"/>
      <c r="H22" s="214"/>
      <c r="I22" s="211"/>
      <c r="J22" s="215" t="str">
        <f>IF(D22="P",EmplOperating[[#This Row],[OT Hours Worked (Regular Only)]]*EmplOperating[[#This Row],[Overtime Hourly Wage (Regular Only)]],"P Only")</f>
        <v>P Only</v>
      </c>
      <c r="K22" s="216"/>
      <c r="L22" s="211"/>
      <c r="M22" s="370"/>
      <c r="N22" s="237">
        <f>IF(EmplOperating[[#This Row],[(R), (TE) or (BF)]]="R",SUM(EmplOperating[[#This Row],[Total Wage (Regular Only)]],#REF!,EmplOperating[[#This Row],[Expenses]]),SUM(EmplOperating[[#This Row],[Total Wage (TE or BF)]:[Expenses]]))</f>
        <v>0</v>
      </c>
    </row>
    <row r="23" spans="3:15" x14ac:dyDescent="0.2">
      <c r="C23" s="293"/>
      <c r="D23" s="210" t="s">
        <v>127</v>
      </c>
      <c r="E23" s="252"/>
      <c r="F23" s="252"/>
      <c r="G23" s="223"/>
      <c r="H23" s="214"/>
      <c r="I23" s="211"/>
      <c r="J23" s="215" t="str">
        <f>IF(D23="P",EmplOperating[[#This Row],[OT Hours Worked (Regular Only)]]*EmplOperating[[#This Row],[Overtime Hourly Wage (Regular Only)]],"P Only")</f>
        <v>P Only</v>
      </c>
      <c r="K23" s="216"/>
      <c r="L23" s="211"/>
      <c r="M23" s="370"/>
      <c r="N23" s="237">
        <f>IF(EmplOperating[[#This Row],[(R), (TE) or (BF)]]="R",SUM(EmplOperating[[#This Row],[Total Wage (Regular Only)]],#REF!,EmplOperating[[#This Row],[Expenses]]),SUM(EmplOperating[[#This Row],[Total Wage (TE or BF)]:[Expenses]]))</f>
        <v>0</v>
      </c>
    </row>
    <row r="24" spans="3:15" x14ac:dyDescent="0.2">
      <c r="C24" s="293"/>
      <c r="D24" s="210" t="s">
        <v>127</v>
      </c>
      <c r="E24" s="252"/>
      <c r="F24" s="252"/>
      <c r="G24" s="223"/>
      <c r="H24" s="214"/>
      <c r="I24" s="211"/>
      <c r="J24" s="215" t="str">
        <f>IF(D24="P",EmplOperating[[#This Row],[OT Hours Worked (Regular Only)]]*EmplOperating[[#This Row],[Overtime Hourly Wage (Regular Only)]],"P Only")</f>
        <v>P Only</v>
      </c>
      <c r="K24" s="216"/>
      <c r="L24" s="211"/>
      <c r="M24" s="370"/>
      <c r="N24" s="237">
        <f>IF(EmplOperating[[#This Row],[(R), (TE) or (BF)]]="R",SUM(EmplOperating[[#This Row],[Total Wage (Regular Only)]],#REF!,EmplOperating[[#This Row],[Expenses]]),SUM(EmplOperating[[#This Row],[Total Wage (TE or BF)]:[Expenses]]))</f>
        <v>0</v>
      </c>
    </row>
    <row r="25" spans="3:15" x14ac:dyDescent="0.2">
      <c r="C25" s="293"/>
      <c r="D25" s="210" t="s">
        <v>127</v>
      </c>
      <c r="E25" s="252"/>
      <c r="F25" s="252"/>
      <c r="G25" s="223"/>
      <c r="H25" s="214"/>
      <c r="I25" s="211"/>
      <c r="J25" s="215" t="str">
        <f>IF(D25="P",EmplOperating[[#This Row],[OT Hours Worked (Regular Only)]]*EmplOperating[[#This Row],[Overtime Hourly Wage (Regular Only)]],"P Only")</f>
        <v>P Only</v>
      </c>
      <c r="K25" s="216"/>
      <c r="L25" s="211"/>
      <c r="M25" s="370"/>
      <c r="N25" s="237">
        <f>IF(EmplOperating[[#This Row],[(R), (TE) or (BF)]]="R",SUM(EmplOperating[[#This Row],[Total Wage (Regular Only)]],#REF!,EmplOperating[[#This Row],[Expenses]]),SUM(EmplOperating[[#This Row],[Total Wage (TE or BF)]:[Expenses]]))</f>
        <v>0</v>
      </c>
    </row>
    <row r="26" spans="3:15" x14ac:dyDescent="0.2">
      <c r="C26" s="293"/>
      <c r="D26" s="210" t="s">
        <v>127</v>
      </c>
      <c r="E26" s="252"/>
      <c r="F26" s="252"/>
      <c r="G26" s="223"/>
      <c r="H26" s="214"/>
      <c r="I26" s="211"/>
      <c r="J26" s="215" t="str">
        <f>IF(D26="P",EmplOperating[[#This Row],[OT Hours Worked (Regular Only)]]*EmplOperating[[#This Row],[Overtime Hourly Wage (Regular Only)]],"P Only")</f>
        <v>P Only</v>
      </c>
      <c r="K26" s="216"/>
      <c r="L26" s="211"/>
      <c r="M26" s="370"/>
      <c r="N26" s="237">
        <f>IF(EmplOperating[[#This Row],[(R), (TE) or (BF)]]="R",SUM(EmplOperating[[#This Row],[Total Wage (Regular Only)]],#REF!,EmplOperating[[#This Row],[Expenses]]),SUM(EmplOperating[[#This Row],[Total Wage (TE or BF)]:[Expenses]]))</f>
        <v>0</v>
      </c>
    </row>
    <row r="27" spans="3:15" x14ac:dyDescent="0.2">
      <c r="C27" s="293"/>
      <c r="D27" s="210" t="s">
        <v>127</v>
      </c>
      <c r="E27" s="252"/>
      <c r="F27" s="252"/>
      <c r="G27" s="223"/>
      <c r="H27" s="214"/>
      <c r="I27" s="211"/>
      <c r="J27" s="215" t="str">
        <f>IF(D27="P",EmplOperating[[#This Row],[OT Hours Worked (Regular Only)]]*EmplOperating[[#This Row],[Overtime Hourly Wage (Regular Only)]],"P Only")</f>
        <v>P Only</v>
      </c>
      <c r="K27" s="216"/>
      <c r="L27" s="211"/>
      <c r="M27" s="370"/>
      <c r="N27" s="237">
        <f>IF(EmplOperating[[#This Row],[(R), (TE) or (BF)]]="R",SUM(EmplOperating[[#This Row],[Total Wage (Regular Only)]],#REF!,EmplOperating[[#This Row],[Expenses]]),SUM(EmplOperating[[#This Row],[Total Wage (TE or BF)]:[Expenses]]))</f>
        <v>0</v>
      </c>
    </row>
    <row r="28" spans="3:15" x14ac:dyDescent="0.2">
      <c r="C28" s="293"/>
      <c r="D28" s="210" t="s">
        <v>127</v>
      </c>
      <c r="E28" s="252"/>
      <c r="F28" s="252"/>
      <c r="G28" s="223"/>
      <c r="H28" s="214"/>
      <c r="I28" s="211"/>
      <c r="J28" s="215" t="str">
        <f>IF(D28="P",EmplOperating[[#This Row],[OT Hours Worked (Regular Only)]]*EmplOperating[[#This Row],[Overtime Hourly Wage (Regular Only)]],"P Only")</f>
        <v>P Only</v>
      </c>
      <c r="K28" s="216"/>
      <c r="L28" s="211"/>
      <c r="M28" s="370"/>
      <c r="N28" s="237">
        <f>IF(EmplOperating[[#This Row],[(R), (TE) or (BF)]]="R",SUM(EmplOperating[[#This Row],[Total Wage (Regular Only)]],#REF!,EmplOperating[[#This Row],[Expenses]]),SUM(EmplOperating[[#This Row],[Total Wage (TE or BF)]:[Expenses]]))</f>
        <v>0</v>
      </c>
    </row>
    <row r="29" spans="3:15" x14ac:dyDescent="0.2">
      <c r="C29" s="293"/>
      <c r="D29" s="210" t="s">
        <v>127</v>
      </c>
      <c r="E29" s="252"/>
      <c r="F29" s="252"/>
      <c r="G29" s="223"/>
      <c r="H29" s="214"/>
      <c r="I29" s="211"/>
      <c r="J29" s="215" t="str">
        <f>IF(D29="P",EmplOperating[[#This Row],[OT Hours Worked (Regular Only)]]*EmplOperating[[#This Row],[Overtime Hourly Wage (Regular Only)]],"P Only")</f>
        <v>P Only</v>
      </c>
      <c r="K29" s="216"/>
      <c r="L29" s="211"/>
      <c r="M29" s="370"/>
      <c r="N29" s="237">
        <f>IF(EmplOperating[[#This Row],[(R), (TE) or (BF)]]="R",SUM(EmplOperating[[#This Row],[Total Wage (Regular Only)]],#REF!,EmplOperating[[#This Row],[Expenses]]),SUM(EmplOperating[[#This Row],[Total Wage (TE or BF)]:[Expenses]]))</f>
        <v>0</v>
      </c>
    </row>
    <row r="30" spans="3:15" x14ac:dyDescent="0.2">
      <c r="C30" s="293"/>
      <c r="D30" s="210"/>
      <c r="E30" s="252"/>
      <c r="F30" s="252"/>
      <c r="G30" s="223"/>
      <c r="H30" s="214"/>
      <c r="I30" s="211"/>
      <c r="J30" s="215" t="str">
        <f>IF(D30="P",EmplOperating[[#This Row],[OT Hours Worked (Regular Only)]]*EmplOperating[[#This Row],[Overtime Hourly Wage (Regular Only)]],"P Only")</f>
        <v>P Only</v>
      </c>
      <c r="K30" s="216"/>
      <c r="L30" s="211"/>
      <c r="M30" s="370"/>
      <c r="N30" s="237">
        <f>IF(EmplOperating[[#This Row],[(R), (TE) or (BF)]]="R",SUM(EmplOperating[[#This Row],[Total Wage (Regular Only)]],#REF!,EmplOperating[[#This Row],[Expenses]]),SUM(EmplOperating[[#This Row],[Total Wage (TE or BF)]:[Expenses]]))</f>
        <v>0</v>
      </c>
    </row>
    <row r="31" spans="3:15" x14ac:dyDescent="0.2">
      <c r="C31" s="293"/>
      <c r="D31" s="210"/>
      <c r="E31" s="252"/>
      <c r="F31" s="252"/>
      <c r="G31" s="223"/>
      <c r="H31" s="214"/>
      <c r="I31" s="211"/>
      <c r="J31" s="215" t="e">
        <f>IF('4.Personnel - immobilisations'!#REF!="P",EmplOperating[[#This Row],[OT Hours Worked (Regular Only)]]*EmplOperating[[#This Row],[Overtime Hourly Wage (Regular Only)]],"P Only")</f>
        <v>#REF!</v>
      </c>
      <c r="K31" s="216"/>
      <c r="L31" s="211"/>
      <c r="M31" s="370"/>
      <c r="N31" s="237">
        <f>IF(EmplOperating[[#This Row],[(R), (TE) or (BF)]]="R",SUM(EmplOperating[[#This Row],[Total Wage (Regular Only)]],#REF!,EmplOperating[[#This Row],[Expenses]]),SUM(EmplOperating[[#This Row],[Total Wage (TE or BF)]:[Expenses]]))</f>
        <v>0</v>
      </c>
    </row>
    <row r="32" spans="3:15" ht="15" thickBot="1" x14ac:dyDescent="0.25">
      <c r="C32" s="5"/>
      <c r="D32" s="5"/>
      <c r="E32" s="5"/>
      <c r="F32" s="5"/>
      <c r="G32" s="8"/>
      <c r="H32" s="184"/>
      <c r="I32" s="185"/>
      <c r="J32" s="186" t="e">
        <f>SUM(EmplOperating[Total Wage (Regular Only)])</f>
        <v>#REF!</v>
      </c>
      <c r="K32" s="151">
        <f>SUM(EmplOperating[[#All],[Total Wage (TE or BF)]])</f>
        <v>0</v>
      </c>
      <c r="L32" s="152">
        <f>SUM(EmplOperating[[#All],[Expenses]])</f>
        <v>0</v>
      </c>
      <c r="M32" s="24" t="s">
        <v>39</v>
      </c>
      <c r="N32" s="152">
        <f>SUM(EmplOperating[Total Cost])</f>
        <v>0</v>
      </c>
    </row>
    <row r="33" spans="3:14" x14ac:dyDescent="0.2">
      <c r="C33" s="5"/>
      <c r="D33" s="5"/>
      <c r="E33" s="5"/>
      <c r="F33" s="5"/>
      <c r="G33" s="5"/>
      <c r="H33" s="5"/>
      <c r="I33" s="5"/>
      <c r="J33" s="6"/>
      <c r="K33" s="6"/>
      <c r="L33" s="5"/>
      <c r="M33" s="5"/>
      <c r="N33" s="5"/>
    </row>
    <row r="34" spans="3:14" x14ac:dyDescent="0.2">
      <c r="C34" s="5"/>
      <c r="D34" s="5"/>
      <c r="E34" s="5"/>
      <c r="F34" s="5"/>
      <c r="G34" s="5"/>
      <c r="H34" s="5"/>
      <c r="I34" s="5"/>
      <c r="J34" s="6"/>
      <c r="K34" s="6"/>
      <c r="L34" s="5"/>
      <c r="M34" s="5"/>
      <c r="N34" s="5"/>
    </row>
    <row r="35" spans="3:14" x14ac:dyDescent="0.2">
      <c r="C35" s="5"/>
      <c r="D35" s="5"/>
      <c r="E35" s="5"/>
      <c r="F35" s="5"/>
      <c r="G35" s="5"/>
      <c r="H35" s="5"/>
      <c r="I35" s="5"/>
      <c r="J35" s="6"/>
      <c r="K35" s="6"/>
      <c r="L35" s="5"/>
      <c r="M35" s="5"/>
      <c r="N35" s="5"/>
    </row>
    <row r="36" spans="3:14" x14ac:dyDescent="0.2">
      <c r="C36" s="5"/>
      <c r="D36" s="5"/>
      <c r="E36" s="5"/>
      <c r="F36" s="5"/>
      <c r="G36" s="5"/>
      <c r="H36" s="5"/>
      <c r="I36" s="5"/>
      <c r="J36" s="6"/>
      <c r="K36" s="6"/>
      <c r="L36" s="5"/>
      <c r="M36" s="5"/>
      <c r="N36" s="5"/>
    </row>
    <row r="37" spans="3:14" x14ac:dyDescent="0.2">
      <c r="C37" s="5"/>
      <c r="D37" s="5"/>
      <c r="E37" s="5"/>
      <c r="F37" s="5"/>
      <c r="G37" s="5"/>
      <c r="H37" s="5"/>
      <c r="I37" s="5"/>
      <c r="J37" s="6"/>
      <c r="K37" s="6"/>
      <c r="L37" s="5"/>
      <c r="M37" s="5"/>
      <c r="N37" s="5"/>
    </row>
    <row r="38" spans="3:14" x14ac:dyDescent="0.2">
      <c r="C38" s="5"/>
      <c r="D38" s="5"/>
      <c r="E38" s="5"/>
      <c r="F38" s="5"/>
      <c r="G38" s="5"/>
      <c r="H38" s="5"/>
      <c r="I38" s="5"/>
      <c r="J38" s="6"/>
      <c r="K38" s="6"/>
      <c r="L38" s="5"/>
      <c r="M38" s="5"/>
      <c r="N38" s="5"/>
    </row>
    <row r="39" spans="3:14" x14ac:dyDescent="0.2">
      <c r="C39" s="5"/>
      <c r="D39" s="5"/>
      <c r="E39" s="5"/>
      <c r="F39" s="5"/>
      <c r="G39" s="5"/>
      <c r="H39" s="5"/>
      <c r="I39" s="5"/>
      <c r="J39" s="6"/>
      <c r="K39" s="6"/>
      <c r="L39" s="5"/>
      <c r="M39" s="5"/>
      <c r="N39" s="5"/>
    </row>
    <row r="40" spans="3:14" x14ac:dyDescent="0.2">
      <c r="C40" s="5"/>
      <c r="D40" s="5"/>
      <c r="E40" s="5"/>
      <c r="F40" s="5"/>
      <c r="G40" s="5"/>
      <c r="H40" s="5"/>
      <c r="I40" s="5"/>
      <c r="J40" s="6"/>
      <c r="K40" s="6"/>
      <c r="L40" s="5"/>
      <c r="M40" s="5"/>
      <c r="N40" s="5"/>
    </row>
    <row r="41" spans="3:14" x14ac:dyDescent="0.2">
      <c r="C41" s="5"/>
      <c r="D41" s="5"/>
      <c r="E41" s="5"/>
      <c r="F41" s="5"/>
      <c r="G41" s="5"/>
      <c r="H41" s="5"/>
      <c r="I41" s="5"/>
      <c r="J41" s="6"/>
      <c r="K41" s="6"/>
      <c r="L41" s="5"/>
      <c r="M41" s="5"/>
      <c r="N41" s="5"/>
    </row>
    <row r="42" spans="3:14" x14ac:dyDescent="0.2">
      <c r="M42" s="5"/>
      <c r="N42" s="5"/>
    </row>
    <row r="43" spans="3:14" x14ac:dyDescent="0.2">
      <c r="M43" s="5"/>
      <c r="N43" s="5"/>
    </row>
    <row r="44" spans="3:14" x14ac:dyDescent="0.2">
      <c r="M44" s="5"/>
    </row>
    <row r="45" spans="3:14" x14ac:dyDescent="0.2">
      <c r="M45" s="5"/>
    </row>
    <row r="46" spans="3:14" x14ac:dyDescent="0.2">
      <c r="M46" s="5"/>
    </row>
    <row r="47" spans="3:14" x14ac:dyDescent="0.2">
      <c r="M47" s="5"/>
    </row>
    <row r="48" spans="3:14" x14ac:dyDescent="0.2">
      <c r="M48" s="5"/>
    </row>
    <row r="49" spans="13:13" x14ac:dyDescent="0.2">
      <c r="M49" s="5"/>
    </row>
    <row r="50" spans="13:13" x14ac:dyDescent="0.2">
      <c r="M50" s="5"/>
    </row>
  </sheetData>
  <sheetProtection selectLockedCells="1"/>
  <dataConsolidate/>
  <mergeCells count="4">
    <mergeCell ref="D2:F2"/>
    <mergeCell ref="D3:N3"/>
    <mergeCell ref="B10:B11"/>
    <mergeCell ref="H8:J8"/>
  </mergeCells>
  <conditionalFormatting sqref="M13:M31">
    <cfRule type="expression" dxfId="165" priority="1" stopIfTrue="1">
      <formula>$N13=0</formula>
    </cfRule>
    <cfRule type="expression" dxfId="164" priority="3">
      <formula>$M13=0</formula>
    </cfRule>
  </conditionalFormatting>
  <dataValidations count="6">
    <dataValidation type="list" allowBlank="1" showInputMessage="1" showErrorMessage="1" sqref="D11 D13:D31">
      <formula1>"Sélectionner, P,T,R"</formula1>
    </dataValidation>
    <dataValidation type="list" allowBlank="1" showInputMessage="1" showErrorMessage="1" promptTitle="Sélectionner" sqref="D10">
      <formula1>"Sélectionner, P,T,R"</formula1>
    </dataValidation>
    <dataValidation type="custom" allowBlank="1" showInputMessage="1" showErrorMessage="1" sqref="J13">
      <formula1>"P Seulement"</formula1>
    </dataValidation>
    <dataValidation type="date" allowBlank="1" showErrorMessage="1" errorTitle="Error" error="Please enter a valid date in the format YYYY/MM/DD" sqref="E13:F31">
      <formula1>41640</formula1>
      <formula2>73415</formula2>
    </dataValidation>
    <dataValidation type="decimal" allowBlank="1" showInputMessage="1" showErrorMessage="1" errorTitle="Error" error="Please enter a dollar value" sqref="I13:I31 K13:L31">
      <formula1>0</formula1>
      <formula2>500000000</formula2>
    </dataValidation>
    <dataValidation type="decimal" allowBlank="1" showInputMessage="1" showErrorMessage="1" errorTitle="Error" error="Please enter a valid number" sqref="H13:H31">
      <formula1>0</formula1>
      <formula2>500000000</formula2>
    </dataValidation>
  </dataValidations>
  <pageMargins left="0.25" right="0.25" top="0.75" bottom="0.75" header="0.3" footer="0.3"/>
  <pageSetup paperSize="5" scale="76" fitToHeight="0" orientation="landscape" r:id="rId1"/>
  <headerFooter>
    <oddHeader>&amp;L&amp;G&amp;C&amp;"Arial,Bold"&amp;18&amp;K000000Employee  Operating Costs&amp;R&amp;"Arial,Bold"-</oddHeader>
    <oddFooter>&amp;RPage &amp;P of &amp;N</oddFooter>
  </headerFooter>
  <drawing r:id="rId2"/>
  <legacyDrawingHF r:id="rId3"/>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pageSetUpPr fitToPage="1"/>
  </sheetPr>
  <dimension ref="B1:U52"/>
  <sheetViews>
    <sheetView showGridLines="0" zoomScale="90" zoomScaleNormal="90" zoomScalePageLayoutView="80" workbookViewId="0">
      <pane ySplit="10" topLeftCell="A11" activePane="bottomLeft" state="frozen"/>
      <selection pane="bottomLeft" activeCell="E11" sqref="E11"/>
    </sheetView>
  </sheetViews>
  <sheetFormatPr defaultRowHeight="14.25" x14ac:dyDescent="0.2"/>
  <cols>
    <col min="1" max="1" width="1" style="2" customWidth="1"/>
    <col min="2" max="2" width="3.625" style="15" customWidth="1"/>
    <col min="3" max="3" width="18.75" style="2" customWidth="1"/>
    <col min="4" max="4" width="11.375" style="2" customWidth="1"/>
    <col min="5" max="5" width="13.5" style="2" customWidth="1"/>
    <col min="6" max="6" width="13.875" style="2" customWidth="1"/>
    <col min="7" max="7" width="32.125" style="2" customWidth="1"/>
    <col min="8" max="8" width="11.875" style="2" customWidth="1"/>
    <col min="9" max="9" width="14.625" style="2" customWidth="1"/>
    <col min="10" max="10" width="15.5" style="2" customWidth="1"/>
    <col min="11" max="11" width="19.375" style="2" customWidth="1"/>
    <col min="12" max="12" width="15.625" style="17" customWidth="1"/>
    <col min="13" max="13" width="14.625" style="2" customWidth="1"/>
    <col min="14" max="14" width="17.25" style="2" customWidth="1"/>
    <col min="15" max="15" width="17.75" style="2" customWidth="1"/>
    <col min="16" max="16" width="21.875" style="2" customWidth="1"/>
    <col min="17" max="17" width="27" style="2" customWidth="1"/>
    <col min="18" max="18" width="11.375" style="2" customWidth="1"/>
    <col min="19" max="19" width="9" style="2" customWidth="1"/>
    <col min="20" max="20" width="9" style="2"/>
    <col min="21" max="21" width="14.625" style="2" hidden="1" customWidth="1"/>
    <col min="22" max="22" width="6.25" style="2" customWidth="1"/>
    <col min="23" max="23" width="9.75" style="2" customWidth="1"/>
    <col min="24" max="24" width="9.125" style="2" customWidth="1"/>
    <col min="25" max="25" width="8" style="2" customWidth="1"/>
    <col min="26" max="219" width="8" style="2"/>
    <col min="220" max="220" width="1" style="2" customWidth="1"/>
    <col min="221" max="221" width="16.25" style="2" customWidth="1"/>
    <col min="222" max="222" width="18.625" style="2" customWidth="1"/>
    <col min="223" max="223" width="6" style="2" customWidth="1"/>
    <col min="224" max="224" width="15.875" style="2" customWidth="1"/>
    <col min="225" max="225" width="10.375" style="2" customWidth="1"/>
    <col min="226" max="226" width="32.125" style="2" customWidth="1"/>
    <col min="227" max="227" width="13.625" style="2" customWidth="1"/>
    <col min="228" max="228" width="7.125" style="2" customWidth="1"/>
    <col min="229" max="229" width="4.375" style="2" customWidth="1"/>
    <col min="230" max="232" width="9.375" style="2" customWidth="1"/>
    <col min="233" max="475" width="8" style="2"/>
    <col min="476" max="476" width="1" style="2" customWidth="1"/>
    <col min="477" max="477" width="16.25" style="2" customWidth="1"/>
    <col min="478" max="478" width="18.625" style="2" customWidth="1"/>
    <col min="479" max="479" width="6" style="2" customWidth="1"/>
    <col min="480" max="480" width="15.875" style="2" customWidth="1"/>
    <col min="481" max="481" width="10.375" style="2" customWidth="1"/>
    <col min="482" max="482" width="32.125" style="2" customWidth="1"/>
    <col min="483" max="483" width="13.625" style="2" customWidth="1"/>
    <col min="484" max="484" width="7.125" style="2" customWidth="1"/>
    <col min="485" max="485" width="4.375" style="2" customWidth="1"/>
    <col min="486" max="488" width="9.375" style="2" customWidth="1"/>
    <col min="489" max="731" width="8" style="2"/>
    <col min="732" max="732" width="1" style="2" customWidth="1"/>
    <col min="733" max="733" width="16.25" style="2" customWidth="1"/>
    <col min="734" max="734" width="18.625" style="2" customWidth="1"/>
    <col min="735" max="735" width="6" style="2" customWidth="1"/>
    <col min="736" max="736" width="15.875" style="2" customWidth="1"/>
    <col min="737" max="737" width="10.375" style="2" customWidth="1"/>
    <col min="738" max="738" width="32.125" style="2" customWidth="1"/>
    <col min="739" max="739" width="13.625" style="2" customWidth="1"/>
    <col min="740" max="740" width="7.125" style="2" customWidth="1"/>
    <col min="741" max="741" width="4.375" style="2" customWidth="1"/>
    <col min="742" max="744" width="9.375" style="2" customWidth="1"/>
    <col min="745" max="987" width="8" style="2"/>
    <col min="988" max="988" width="1" style="2" customWidth="1"/>
    <col min="989" max="989" width="16.25" style="2" customWidth="1"/>
    <col min="990" max="990" width="18.625" style="2" customWidth="1"/>
    <col min="991" max="991" width="6" style="2" customWidth="1"/>
    <col min="992" max="992" width="15.875" style="2" customWidth="1"/>
    <col min="993" max="993" width="10.375" style="2" customWidth="1"/>
    <col min="994" max="994" width="32.125" style="2" customWidth="1"/>
    <col min="995" max="995" width="13.625" style="2" customWidth="1"/>
    <col min="996" max="996" width="7.125" style="2" customWidth="1"/>
    <col min="997" max="997" width="4.375" style="2" customWidth="1"/>
    <col min="998" max="1000" width="9.375" style="2" customWidth="1"/>
    <col min="1001" max="1243" width="9" style="2"/>
    <col min="1244" max="1244" width="1" style="2" customWidth="1"/>
    <col min="1245" max="1245" width="16.25" style="2" customWidth="1"/>
    <col min="1246" max="1246" width="18.625" style="2" customWidth="1"/>
    <col min="1247" max="1247" width="6" style="2" customWidth="1"/>
    <col min="1248" max="1248" width="15.875" style="2" customWidth="1"/>
    <col min="1249" max="1249" width="10.375" style="2" customWidth="1"/>
    <col min="1250" max="1250" width="32.125" style="2" customWidth="1"/>
    <col min="1251" max="1251" width="13.625" style="2" customWidth="1"/>
    <col min="1252" max="1252" width="7.125" style="2" customWidth="1"/>
    <col min="1253" max="1253" width="4.375" style="2" customWidth="1"/>
    <col min="1254" max="1256" width="9.375" style="2" customWidth="1"/>
    <col min="1257" max="1499" width="8" style="2"/>
    <col min="1500" max="1500" width="1" style="2" customWidth="1"/>
    <col min="1501" max="1501" width="16.25" style="2" customWidth="1"/>
    <col min="1502" max="1502" width="18.625" style="2" customWidth="1"/>
    <col min="1503" max="1503" width="6" style="2" customWidth="1"/>
    <col min="1504" max="1504" width="15.875" style="2" customWidth="1"/>
    <col min="1505" max="1505" width="10.375" style="2" customWidth="1"/>
    <col min="1506" max="1506" width="32.125" style="2" customWidth="1"/>
    <col min="1507" max="1507" width="13.625" style="2" customWidth="1"/>
    <col min="1508" max="1508" width="7.125" style="2" customWidth="1"/>
    <col min="1509" max="1509" width="4.375" style="2" customWidth="1"/>
    <col min="1510" max="1512" width="9.375" style="2" customWidth="1"/>
    <col min="1513" max="1755" width="8" style="2"/>
    <col min="1756" max="1756" width="1" style="2" customWidth="1"/>
    <col min="1757" max="1757" width="16.25" style="2" customWidth="1"/>
    <col min="1758" max="1758" width="18.625" style="2" customWidth="1"/>
    <col min="1759" max="1759" width="6" style="2" customWidth="1"/>
    <col min="1760" max="1760" width="15.875" style="2" customWidth="1"/>
    <col min="1761" max="1761" width="10.375" style="2" customWidth="1"/>
    <col min="1762" max="1762" width="32.125" style="2" customWidth="1"/>
    <col min="1763" max="1763" width="13.625" style="2" customWidth="1"/>
    <col min="1764" max="1764" width="7.125" style="2" customWidth="1"/>
    <col min="1765" max="1765" width="4.375" style="2" customWidth="1"/>
    <col min="1766" max="1768" width="9.375" style="2" customWidth="1"/>
    <col min="1769" max="2011" width="8" style="2"/>
    <col min="2012" max="2012" width="1" style="2" customWidth="1"/>
    <col min="2013" max="2013" width="16.25" style="2" customWidth="1"/>
    <col min="2014" max="2014" width="18.625" style="2" customWidth="1"/>
    <col min="2015" max="2015" width="6" style="2" customWidth="1"/>
    <col min="2016" max="2016" width="15.875" style="2" customWidth="1"/>
    <col min="2017" max="2017" width="10.375" style="2" customWidth="1"/>
    <col min="2018" max="2018" width="32.125" style="2" customWidth="1"/>
    <col min="2019" max="2019" width="13.625" style="2" customWidth="1"/>
    <col min="2020" max="2020" width="7.125" style="2" customWidth="1"/>
    <col min="2021" max="2021" width="4.375" style="2" customWidth="1"/>
    <col min="2022" max="2024" width="9.375" style="2" customWidth="1"/>
    <col min="2025" max="2267" width="9" style="2"/>
    <col min="2268" max="2268" width="1" style="2" customWidth="1"/>
    <col min="2269" max="2269" width="16.25" style="2" customWidth="1"/>
    <col min="2270" max="2270" width="18.625" style="2" customWidth="1"/>
    <col min="2271" max="2271" width="6" style="2" customWidth="1"/>
    <col min="2272" max="2272" width="15.875" style="2" customWidth="1"/>
    <col min="2273" max="2273" width="10.375" style="2" customWidth="1"/>
    <col min="2274" max="2274" width="32.125" style="2" customWidth="1"/>
    <col min="2275" max="2275" width="13.625" style="2" customWidth="1"/>
    <col min="2276" max="2276" width="7.125" style="2" customWidth="1"/>
    <col min="2277" max="2277" width="4.375" style="2" customWidth="1"/>
    <col min="2278" max="2280" width="9.375" style="2" customWidth="1"/>
    <col min="2281" max="2523" width="8" style="2"/>
    <col min="2524" max="2524" width="1" style="2" customWidth="1"/>
    <col min="2525" max="2525" width="16.25" style="2" customWidth="1"/>
    <col min="2526" max="2526" width="18.625" style="2" customWidth="1"/>
    <col min="2527" max="2527" width="6" style="2" customWidth="1"/>
    <col min="2528" max="2528" width="15.875" style="2" customWidth="1"/>
    <col min="2529" max="2529" width="10.375" style="2" customWidth="1"/>
    <col min="2530" max="2530" width="32.125" style="2" customWidth="1"/>
    <col min="2531" max="2531" width="13.625" style="2" customWidth="1"/>
    <col min="2532" max="2532" width="7.125" style="2" customWidth="1"/>
    <col min="2533" max="2533" width="4.375" style="2" customWidth="1"/>
    <col min="2534" max="2536" width="9.375" style="2" customWidth="1"/>
    <col min="2537" max="2779" width="8" style="2"/>
    <col min="2780" max="2780" width="1" style="2" customWidth="1"/>
    <col min="2781" max="2781" width="16.25" style="2" customWidth="1"/>
    <col min="2782" max="2782" width="18.625" style="2" customWidth="1"/>
    <col min="2783" max="2783" width="6" style="2" customWidth="1"/>
    <col min="2784" max="2784" width="15.875" style="2" customWidth="1"/>
    <col min="2785" max="2785" width="10.375" style="2" customWidth="1"/>
    <col min="2786" max="2786" width="32.125" style="2" customWidth="1"/>
    <col min="2787" max="2787" width="13.625" style="2" customWidth="1"/>
    <col min="2788" max="2788" width="7.125" style="2" customWidth="1"/>
    <col min="2789" max="2789" width="4.375" style="2" customWidth="1"/>
    <col min="2790" max="2792" width="9.375" style="2" customWidth="1"/>
    <col min="2793" max="3035" width="8" style="2"/>
    <col min="3036" max="3036" width="1" style="2" customWidth="1"/>
    <col min="3037" max="3037" width="16.25" style="2" customWidth="1"/>
    <col min="3038" max="3038" width="18.625" style="2" customWidth="1"/>
    <col min="3039" max="3039" width="6" style="2" customWidth="1"/>
    <col min="3040" max="3040" width="15.875" style="2" customWidth="1"/>
    <col min="3041" max="3041" width="10.375" style="2" customWidth="1"/>
    <col min="3042" max="3042" width="32.125" style="2" customWidth="1"/>
    <col min="3043" max="3043" width="13.625" style="2" customWidth="1"/>
    <col min="3044" max="3044" width="7.125" style="2" customWidth="1"/>
    <col min="3045" max="3045" width="4.375" style="2" customWidth="1"/>
    <col min="3046" max="3048" width="9.375" style="2" customWidth="1"/>
    <col min="3049" max="3291" width="9" style="2"/>
    <col min="3292" max="3292" width="1" style="2" customWidth="1"/>
    <col min="3293" max="3293" width="16.25" style="2" customWidth="1"/>
    <col min="3294" max="3294" width="18.625" style="2" customWidth="1"/>
    <col min="3295" max="3295" width="6" style="2" customWidth="1"/>
    <col min="3296" max="3296" width="15.875" style="2" customWidth="1"/>
    <col min="3297" max="3297" width="10.375" style="2" customWidth="1"/>
    <col min="3298" max="3298" width="32.125" style="2" customWidth="1"/>
    <col min="3299" max="3299" width="13.625" style="2" customWidth="1"/>
    <col min="3300" max="3300" width="7.125" style="2" customWidth="1"/>
    <col min="3301" max="3301" width="4.375" style="2" customWidth="1"/>
    <col min="3302" max="3304" width="9.375" style="2" customWidth="1"/>
    <col min="3305" max="3547" width="8" style="2"/>
    <col min="3548" max="3548" width="1" style="2" customWidth="1"/>
    <col min="3549" max="3549" width="16.25" style="2" customWidth="1"/>
    <col min="3550" max="3550" width="18.625" style="2" customWidth="1"/>
    <col min="3551" max="3551" width="6" style="2" customWidth="1"/>
    <col min="3552" max="3552" width="15.875" style="2" customWidth="1"/>
    <col min="3553" max="3553" width="10.375" style="2" customWidth="1"/>
    <col min="3554" max="3554" width="32.125" style="2" customWidth="1"/>
    <col min="3555" max="3555" width="13.625" style="2" customWidth="1"/>
    <col min="3556" max="3556" width="7.125" style="2" customWidth="1"/>
    <col min="3557" max="3557" width="4.375" style="2" customWidth="1"/>
    <col min="3558" max="3560" width="9.375" style="2" customWidth="1"/>
    <col min="3561" max="3803" width="8" style="2"/>
    <col min="3804" max="3804" width="1" style="2" customWidth="1"/>
    <col min="3805" max="3805" width="16.25" style="2" customWidth="1"/>
    <col min="3806" max="3806" width="18.625" style="2" customWidth="1"/>
    <col min="3807" max="3807" width="6" style="2" customWidth="1"/>
    <col min="3808" max="3808" width="15.875" style="2" customWidth="1"/>
    <col min="3809" max="3809" width="10.375" style="2" customWidth="1"/>
    <col min="3810" max="3810" width="32.125" style="2" customWidth="1"/>
    <col min="3811" max="3811" width="13.625" style="2" customWidth="1"/>
    <col min="3812" max="3812" width="7.125" style="2" customWidth="1"/>
    <col min="3813" max="3813" width="4.375" style="2" customWidth="1"/>
    <col min="3814" max="3816" width="9.375" style="2" customWidth="1"/>
    <col min="3817" max="4059" width="8" style="2"/>
    <col min="4060" max="4060" width="1" style="2" customWidth="1"/>
    <col min="4061" max="4061" width="16.25" style="2" customWidth="1"/>
    <col min="4062" max="4062" width="18.625" style="2" customWidth="1"/>
    <col min="4063" max="4063" width="6" style="2" customWidth="1"/>
    <col min="4064" max="4064" width="15.875" style="2" customWidth="1"/>
    <col min="4065" max="4065" width="10.375" style="2" customWidth="1"/>
    <col min="4066" max="4066" width="32.125" style="2" customWidth="1"/>
    <col min="4067" max="4067" width="13.625" style="2" customWidth="1"/>
    <col min="4068" max="4068" width="7.125" style="2" customWidth="1"/>
    <col min="4069" max="4069" width="4.375" style="2" customWidth="1"/>
    <col min="4070" max="4072" width="9.375" style="2" customWidth="1"/>
    <col min="4073" max="4315" width="9" style="2"/>
    <col min="4316" max="4316" width="1" style="2" customWidth="1"/>
    <col min="4317" max="4317" width="16.25" style="2" customWidth="1"/>
    <col min="4318" max="4318" width="18.625" style="2" customWidth="1"/>
    <col min="4319" max="4319" width="6" style="2" customWidth="1"/>
    <col min="4320" max="4320" width="15.875" style="2" customWidth="1"/>
    <col min="4321" max="4321" width="10.375" style="2" customWidth="1"/>
    <col min="4322" max="4322" width="32.125" style="2" customWidth="1"/>
    <col min="4323" max="4323" width="13.625" style="2" customWidth="1"/>
    <col min="4324" max="4324" width="7.125" style="2" customWidth="1"/>
    <col min="4325" max="4325" width="4.375" style="2" customWidth="1"/>
    <col min="4326" max="4328" width="9.375" style="2" customWidth="1"/>
    <col min="4329" max="4571" width="8" style="2"/>
    <col min="4572" max="4572" width="1" style="2" customWidth="1"/>
    <col min="4573" max="4573" width="16.25" style="2" customWidth="1"/>
    <col min="4574" max="4574" width="18.625" style="2" customWidth="1"/>
    <col min="4575" max="4575" width="6" style="2" customWidth="1"/>
    <col min="4576" max="4576" width="15.875" style="2" customWidth="1"/>
    <col min="4577" max="4577" width="10.375" style="2" customWidth="1"/>
    <col min="4578" max="4578" width="32.125" style="2" customWidth="1"/>
    <col min="4579" max="4579" width="13.625" style="2" customWidth="1"/>
    <col min="4580" max="4580" width="7.125" style="2" customWidth="1"/>
    <col min="4581" max="4581" width="4.375" style="2" customWidth="1"/>
    <col min="4582" max="4584" width="9.375" style="2" customWidth="1"/>
    <col min="4585" max="4827" width="8" style="2"/>
    <col min="4828" max="4828" width="1" style="2" customWidth="1"/>
    <col min="4829" max="4829" width="16.25" style="2" customWidth="1"/>
    <col min="4830" max="4830" width="18.625" style="2" customWidth="1"/>
    <col min="4831" max="4831" width="6" style="2" customWidth="1"/>
    <col min="4832" max="4832" width="15.875" style="2" customWidth="1"/>
    <col min="4833" max="4833" width="10.375" style="2" customWidth="1"/>
    <col min="4834" max="4834" width="32.125" style="2" customWidth="1"/>
    <col min="4835" max="4835" width="13.625" style="2" customWidth="1"/>
    <col min="4836" max="4836" width="7.125" style="2" customWidth="1"/>
    <col min="4837" max="4837" width="4.375" style="2" customWidth="1"/>
    <col min="4838" max="4840" width="9.375" style="2" customWidth="1"/>
    <col min="4841" max="5083" width="8" style="2"/>
    <col min="5084" max="5084" width="1" style="2" customWidth="1"/>
    <col min="5085" max="5085" width="16.25" style="2" customWidth="1"/>
    <col min="5086" max="5086" width="18.625" style="2" customWidth="1"/>
    <col min="5087" max="5087" width="6" style="2" customWidth="1"/>
    <col min="5088" max="5088" width="15.875" style="2" customWidth="1"/>
    <col min="5089" max="5089" width="10.375" style="2" customWidth="1"/>
    <col min="5090" max="5090" width="32.125" style="2" customWidth="1"/>
    <col min="5091" max="5091" width="13.625" style="2" customWidth="1"/>
    <col min="5092" max="5092" width="7.125" style="2" customWidth="1"/>
    <col min="5093" max="5093" width="4.375" style="2" customWidth="1"/>
    <col min="5094" max="5096" width="9.375" style="2" customWidth="1"/>
    <col min="5097" max="5339" width="9" style="2"/>
    <col min="5340" max="5340" width="1" style="2" customWidth="1"/>
    <col min="5341" max="5341" width="16.25" style="2" customWidth="1"/>
    <col min="5342" max="5342" width="18.625" style="2" customWidth="1"/>
    <col min="5343" max="5343" width="6" style="2" customWidth="1"/>
    <col min="5344" max="5344" width="15.875" style="2" customWidth="1"/>
    <col min="5345" max="5345" width="10.375" style="2" customWidth="1"/>
    <col min="5346" max="5346" width="32.125" style="2" customWidth="1"/>
    <col min="5347" max="5347" width="13.625" style="2" customWidth="1"/>
    <col min="5348" max="5348" width="7.125" style="2" customWidth="1"/>
    <col min="5349" max="5349" width="4.375" style="2" customWidth="1"/>
    <col min="5350" max="5352" width="9.375" style="2" customWidth="1"/>
    <col min="5353" max="5595" width="8" style="2"/>
    <col min="5596" max="5596" width="1" style="2" customWidth="1"/>
    <col min="5597" max="5597" width="16.25" style="2" customWidth="1"/>
    <col min="5598" max="5598" width="18.625" style="2" customWidth="1"/>
    <col min="5599" max="5599" width="6" style="2" customWidth="1"/>
    <col min="5600" max="5600" width="15.875" style="2" customWidth="1"/>
    <col min="5601" max="5601" width="10.375" style="2" customWidth="1"/>
    <col min="5602" max="5602" width="32.125" style="2" customWidth="1"/>
    <col min="5603" max="5603" width="13.625" style="2" customWidth="1"/>
    <col min="5604" max="5604" width="7.125" style="2" customWidth="1"/>
    <col min="5605" max="5605" width="4.375" style="2" customWidth="1"/>
    <col min="5606" max="5608" width="9.375" style="2" customWidth="1"/>
    <col min="5609" max="5851" width="8" style="2"/>
    <col min="5852" max="5852" width="1" style="2" customWidth="1"/>
    <col min="5853" max="5853" width="16.25" style="2" customWidth="1"/>
    <col min="5854" max="5854" width="18.625" style="2" customWidth="1"/>
    <col min="5855" max="5855" width="6" style="2" customWidth="1"/>
    <col min="5856" max="5856" width="15.875" style="2" customWidth="1"/>
    <col min="5857" max="5857" width="10.375" style="2" customWidth="1"/>
    <col min="5858" max="5858" width="32.125" style="2" customWidth="1"/>
    <col min="5859" max="5859" width="13.625" style="2" customWidth="1"/>
    <col min="5860" max="5860" width="7.125" style="2" customWidth="1"/>
    <col min="5861" max="5861" width="4.375" style="2" customWidth="1"/>
    <col min="5862" max="5864" width="9.375" style="2" customWidth="1"/>
    <col min="5865" max="6107" width="8" style="2"/>
    <col min="6108" max="6108" width="1" style="2" customWidth="1"/>
    <col min="6109" max="6109" width="16.25" style="2" customWidth="1"/>
    <col min="6110" max="6110" width="18.625" style="2" customWidth="1"/>
    <col min="6111" max="6111" width="6" style="2" customWidth="1"/>
    <col min="6112" max="6112" width="15.875" style="2" customWidth="1"/>
    <col min="6113" max="6113" width="10.375" style="2" customWidth="1"/>
    <col min="6114" max="6114" width="32.125" style="2" customWidth="1"/>
    <col min="6115" max="6115" width="13.625" style="2" customWidth="1"/>
    <col min="6116" max="6116" width="7.125" style="2" customWidth="1"/>
    <col min="6117" max="6117" width="4.375" style="2" customWidth="1"/>
    <col min="6118" max="6120" width="9.375" style="2" customWidth="1"/>
    <col min="6121" max="6363" width="9" style="2"/>
    <col min="6364" max="6364" width="1" style="2" customWidth="1"/>
    <col min="6365" max="6365" width="16.25" style="2" customWidth="1"/>
    <col min="6366" max="6366" width="18.625" style="2" customWidth="1"/>
    <col min="6367" max="6367" width="6" style="2" customWidth="1"/>
    <col min="6368" max="6368" width="15.875" style="2" customWidth="1"/>
    <col min="6369" max="6369" width="10.375" style="2" customWidth="1"/>
    <col min="6370" max="6370" width="32.125" style="2" customWidth="1"/>
    <col min="6371" max="6371" width="13.625" style="2" customWidth="1"/>
    <col min="6372" max="6372" width="7.125" style="2" customWidth="1"/>
    <col min="6373" max="6373" width="4.375" style="2" customWidth="1"/>
    <col min="6374" max="6376" width="9.375" style="2" customWidth="1"/>
    <col min="6377" max="6619" width="8" style="2"/>
    <col min="6620" max="6620" width="1" style="2" customWidth="1"/>
    <col min="6621" max="6621" width="16.25" style="2" customWidth="1"/>
    <col min="6622" max="6622" width="18.625" style="2" customWidth="1"/>
    <col min="6623" max="6623" width="6" style="2" customWidth="1"/>
    <col min="6624" max="6624" width="15.875" style="2" customWidth="1"/>
    <col min="6625" max="6625" width="10.375" style="2" customWidth="1"/>
    <col min="6626" max="6626" width="32.125" style="2" customWidth="1"/>
    <col min="6627" max="6627" width="13.625" style="2" customWidth="1"/>
    <col min="6628" max="6628" width="7.125" style="2" customWidth="1"/>
    <col min="6629" max="6629" width="4.375" style="2" customWidth="1"/>
    <col min="6630" max="6632" width="9.375" style="2" customWidth="1"/>
    <col min="6633" max="6875" width="8" style="2"/>
    <col min="6876" max="6876" width="1" style="2" customWidth="1"/>
    <col min="6877" max="6877" width="16.25" style="2" customWidth="1"/>
    <col min="6878" max="6878" width="18.625" style="2" customWidth="1"/>
    <col min="6879" max="6879" width="6" style="2" customWidth="1"/>
    <col min="6880" max="6880" width="15.875" style="2" customWidth="1"/>
    <col min="6881" max="6881" width="10.375" style="2" customWidth="1"/>
    <col min="6882" max="6882" width="32.125" style="2" customWidth="1"/>
    <col min="6883" max="6883" width="13.625" style="2" customWidth="1"/>
    <col min="6884" max="6884" width="7.125" style="2" customWidth="1"/>
    <col min="6885" max="6885" width="4.375" style="2" customWidth="1"/>
    <col min="6886" max="6888" width="9.375" style="2" customWidth="1"/>
    <col min="6889" max="7131" width="8" style="2"/>
    <col min="7132" max="7132" width="1" style="2" customWidth="1"/>
    <col min="7133" max="7133" width="16.25" style="2" customWidth="1"/>
    <col min="7134" max="7134" width="18.625" style="2" customWidth="1"/>
    <col min="7135" max="7135" width="6" style="2" customWidth="1"/>
    <col min="7136" max="7136" width="15.875" style="2" customWidth="1"/>
    <col min="7137" max="7137" width="10.375" style="2" customWidth="1"/>
    <col min="7138" max="7138" width="32.125" style="2" customWidth="1"/>
    <col min="7139" max="7139" width="13.625" style="2" customWidth="1"/>
    <col min="7140" max="7140" width="7.125" style="2" customWidth="1"/>
    <col min="7141" max="7141" width="4.375" style="2" customWidth="1"/>
    <col min="7142" max="7144" width="9.375" style="2" customWidth="1"/>
    <col min="7145" max="7387" width="9" style="2"/>
    <col min="7388" max="7388" width="1" style="2" customWidth="1"/>
    <col min="7389" max="7389" width="16.25" style="2" customWidth="1"/>
    <col min="7390" max="7390" width="18.625" style="2" customWidth="1"/>
    <col min="7391" max="7391" width="6" style="2" customWidth="1"/>
    <col min="7392" max="7392" width="15.875" style="2" customWidth="1"/>
    <col min="7393" max="7393" width="10.375" style="2" customWidth="1"/>
    <col min="7394" max="7394" width="32.125" style="2" customWidth="1"/>
    <col min="7395" max="7395" width="13.625" style="2" customWidth="1"/>
    <col min="7396" max="7396" width="7.125" style="2" customWidth="1"/>
    <col min="7397" max="7397" width="4.375" style="2" customWidth="1"/>
    <col min="7398" max="7400" width="9.375" style="2" customWidth="1"/>
    <col min="7401" max="7643" width="8" style="2"/>
    <col min="7644" max="7644" width="1" style="2" customWidth="1"/>
    <col min="7645" max="7645" width="16.25" style="2" customWidth="1"/>
    <col min="7646" max="7646" width="18.625" style="2" customWidth="1"/>
    <col min="7647" max="7647" width="6" style="2" customWidth="1"/>
    <col min="7648" max="7648" width="15.875" style="2" customWidth="1"/>
    <col min="7649" max="7649" width="10.375" style="2" customWidth="1"/>
    <col min="7650" max="7650" width="32.125" style="2" customWidth="1"/>
    <col min="7651" max="7651" width="13.625" style="2" customWidth="1"/>
    <col min="7652" max="7652" width="7.125" style="2" customWidth="1"/>
    <col min="7653" max="7653" width="4.375" style="2" customWidth="1"/>
    <col min="7654" max="7656" width="9.375" style="2" customWidth="1"/>
    <col min="7657" max="7899" width="8" style="2"/>
    <col min="7900" max="7900" width="1" style="2" customWidth="1"/>
    <col min="7901" max="7901" width="16.25" style="2" customWidth="1"/>
    <col min="7902" max="7902" width="18.625" style="2" customWidth="1"/>
    <col min="7903" max="7903" width="6" style="2" customWidth="1"/>
    <col min="7904" max="7904" width="15.875" style="2" customWidth="1"/>
    <col min="7905" max="7905" width="10.375" style="2" customWidth="1"/>
    <col min="7906" max="7906" width="32.125" style="2" customWidth="1"/>
    <col min="7907" max="7907" width="13.625" style="2" customWidth="1"/>
    <col min="7908" max="7908" width="7.125" style="2" customWidth="1"/>
    <col min="7909" max="7909" width="4.375" style="2" customWidth="1"/>
    <col min="7910" max="7912" width="9.375" style="2" customWidth="1"/>
    <col min="7913" max="8155" width="8" style="2"/>
    <col min="8156" max="8156" width="1" style="2" customWidth="1"/>
    <col min="8157" max="8157" width="16.25" style="2" customWidth="1"/>
    <col min="8158" max="8158" width="18.625" style="2" customWidth="1"/>
    <col min="8159" max="8159" width="6" style="2" customWidth="1"/>
    <col min="8160" max="8160" width="15.875" style="2" customWidth="1"/>
    <col min="8161" max="8161" width="10.375" style="2" customWidth="1"/>
    <col min="8162" max="8162" width="32.125" style="2" customWidth="1"/>
    <col min="8163" max="8163" width="13.625" style="2" customWidth="1"/>
    <col min="8164" max="8164" width="7.125" style="2" customWidth="1"/>
    <col min="8165" max="8165" width="4.375" style="2" customWidth="1"/>
    <col min="8166" max="8168" width="9.375" style="2" customWidth="1"/>
    <col min="8169" max="8411" width="9" style="2"/>
    <col min="8412" max="8412" width="1" style="2" customWidth="1"/>
    <col min="8413" max="8413" width="16.25" style="2" customWidth="1"/>
    <col min="8414" max="8414" width="18.625" style="2" customWidth="1"/>
    <col min="8415" max="8415" width="6" style="2" customWidth="1"/>
    <col min="8416" max="8416" width="15.875" style="2" customWidth="1"/>
    <col min="8417" max="8417" width="10.375" style="2" customWidth="1"/>
    <col min="8418" max="8418" width="32.125" style="2" customWidth="1"/>
    <col min="8419" max="8419" width="13.625" style="2" customWidth="1"/>
    <col min="8420" max="8420" width="7.125" style="2" customWidth="1"/>
    <col min="8421" max="8421" width="4.375" style="2" customWidth="1"/>
    <col min="8422" max="8424" width="9.375" style="2" customWidth="1"/>
    <col min="8425" max="8667" width="8" style="2"/>
    <col min="8668" max="8668" width="1" style="2" customWidth="1"/>
    <col min="8669" max="8669" width="16.25" style="2" customWidth="1"/>
    <col min="8670" max="8670" width="18.625" style="2" customWidth="1"/>
    <col min="8671" max="8671" width="6" style="2" customWidth="1"/>
    <col min="8672" max="8672" width="15.875" style="2" customWidth="1"/>
    <col min="8673" max="8673" width="10.375" style="2" customWidth="1"/>
    <col min="8674" max="8674" width="32.125" style="2" customWidth="1"/>
    <col min="8675" max="8675" width="13.625" style="2" customWidth="1"/>
    <col min="8676" max="8676" width="7.125" style="2" customWidth="1"/>
    <col min="8677" max="8677" width="4.375" style="2" customWidth="1"/>
    <col min="8678" max="8680" width="9.375" style="2" customWidth="1"/>
    <col min="8681" max="8923" width="8" style="2"/>
    <col min="8924" max="8924" width="1" style="2" customWidth="1"/>
    <col min="8925" max="8925" width="16.25" style="2" customWidth="1"/>
    <col min="8926" max="8926" width="18.625" style="2" customWidth="1"/>
    <col min="8927" max="8927" width="6" style="2" customWidth="1"/>
    <col min="8928" max="8928" width="15.875" style="2" customWidth="1"/>
    <col min="8929" max="8929" width="10.375" style="2" customWidth="1"/>
    <col min="8930" max="8930" width="32.125" style="2" customWidth="1"/>
    <col min="8931" max="8931" width="13.625" style="2" customWidth="1"/>
    <col min="8932" max="8932" width="7.125" style="2" customWidth="1"/>
    <col min="8933" max="8933" width="4.375" style="2" customWidth="1"/>
    <col min="8934" max="8936" width="9.375" style="2" customWidth="1"/>
    <col min="8937" max="9179" width="8" style="2"/>
    <col min="9180" max="9180" width="1" style="2" customWidth="1"/>
    <col min="9181" max="9181" width="16.25" style="2" customWidth="1"/>
    <col min="9182" max="9182" width="18.625" style="2" customWidth="1"/>
    <col min="9183" max="9183" width="6" style="2" customWidth="1"/>
    <col min="9184" max="9184" width="15.875" style="2" customWidth="1"/>
    <col min="9185" max="9185" width="10.375" style="2" customWidth="1"/>
    <col min="9186" max="9186" width="32.125" style="2" customWidth="1"/>
    <col min="9187" max="9187" width="13.625" style="2" customWidth="1"/>
    <col min="9188" max="9188" width="7.125" style="2" customWidth="1"/>
    <col min="9189" max="9189" width="4.375" style="2" customWidth="1"/>
    <col min="9190" max="9192" width="9.375" style="2" customWidth="1"/>
    <col min="9193" max="9435" width="9" style="2"/>
    <col min="9436" max="9436" width="1" style="2" customWidth="1"/>
    <col min="9437" max="9437" width="16.25" style="2" customWidth="1"/>
    <col min="9438" max="9438" width="18.625" style="2" customWidth="1"/>
    <col min="9439" max="9439" width="6" style="2" customWidth="1"/>
    <col min="9440" max="9440" width="15.875" style="2" customWidth="1"/>
    <col min="9441" max="9441" width="10.375" style="2" customWidth="1"/>
    <col min="9442" max="9442" width="32.125" style="2" customWidth="1"/>
    <col min="9443" max="9443" width="13.625" style="2" customWidth="1"/>
    <col min="9444" max="9444" width="7.125" style="2" customWidth="1"/>
    <col min="9445" max="9445" width="4.375" style="2" customWidth="1"/>
    <col min="9446" max="9448" width="9.375" style="2" customWidth="1"/>
    <col min="9449" max="9691" width="8" style="2"/>
    <col min="9692" max="9692" width="1" style="2" customWidth="1"/>
    <col min="9693" max="9693" width="16.25" style="2" customWidth="1"/>
    <col min="9694" max="9694" width="18.625" style="2" customWidth="1"/>
    <col min="9695" max="9695" width="6" style="2" customWidth="1"/>
    <col min="9696" max="9696" width="15.875" style="2" customWidth="1"/>
    <col min="9697" max="9697" width="10.375" style="2" customWidth="1"/>
    <col min="9698" max="9698" width="32.125" style="2" customWidth="1"/>
    <col min="9699" max="9699" width="13.625" style="2" customWidth="1"/>
    <col min="9700" max="9700" width="7.125" style="2" customWidth="1"/>
    <col min="9701" max="9701" width="4.375" style="2" customWidth="1"/>
    <col min="9702" max="9704" width="9.375" style="2" customWidth="1"/>
    <col min="9705" max="9947" width="8" style="2"/>
    <col min="9948" max="9948" width="1" style="2" customWidth="1"/>
    <col min="9949" max="9949" width="16.25" style="2" customWidth="1"/>
    <col min="9950" max="9950" width="18.625" style="2" customWidth="1"/>
    <col min="9951" max="9951" width="6" style="2" customWidth="1"/>
    <col min="9952" max="9952" width="15.875" style="2" customWidth="1"/>
    <col min="9953" max="9953" width="10.375" style="2" customWidth="1"/>
    <col min="9954" max="9954" width="32.125" style="2" customWidth="1"/>
    <col min="9955" max="9955" width="13.625" style="2" customWidth="1"/>
    <col min="9956" max="9956" width="7.125" style="2" customWidth="1"/>
    <col min="9957" max="9957" width="4.375" style="2" customWidth="1"/>
    <col min="9958" max="9960" width="9.375" style="2" customWidth="1"/>
    <col min="9961" max="10203" width="8" style="2"/>
    <col min="10204" max="10204" width="1" style="2" customWidth="1"/>
    <col min="10205" max="10205" width="16.25" style="2" customWidth="1"/>
    <col min="10206" max="10206" width="18.625" style="2" customWidth="1"/>
    <col min="10207" max="10207" width="6" style="2" customWidth="1"/>
    <col min="10208" max="10208" width="15.875" style="2" customWidth="1"/>
    <col min="10209" max="10209" width="10.375" style="2" customWidth="1"/>
    <col min="10210" max="10210" width="32.125" style="2" customWidth="1"/>
    <col min="10211" max="10211" width="13.625" style="2" customWidth="1"/>
    <col min="10212" max="10212" width="7.125" style="2" customWidth="1"/>
    <col min="10213" max="10213" width="4.375" style="2" customWidth="1"/>
    <col min="10214" max="10216" width="9.375" style="2" customWidth="1"/>
    <col min="10217" max="10459" width="9" style="2"/>
    <col min="10460" max="10460" width="1" style="2" customWidth="1"/>
    <col min="10461" max="10461" width="16.25" style="2" customWidth="1"/>
    <col min="10462" max="10462" width="18.625" style="2" customWidth="1"/>
    <col min="10463" max="10463" width="6" style="2" customWidth="1"/>
    <col min="10464" max="10464" width="15.875" style="2" customWidth="1"/>
    <col min="10465" max="10465" width="10.375" style="2" customWidth="1"/>
    <col min="10466" max="10466" width="32.125" style="2" customWidth="1"/>
    <col min="10467" max="10467" width="13.625" style="2" customWidth="1"/>
    <col min="10468" max="10468" width="7.125" style="2" customWidth="1"/>
    <col min="10469" max="10469" width="4.375" style="2" customWidth="1"/>
    <col min="10470" max="10472" width="9.375" style="2" customWidth="1"/>
    <col min="10473" max="10715" width="8" style="2"/>
    <col min="10716" max="10716" width="1" style="2" customWidth="1"/>
    <col min="10717" max="10717" width="16.25" style="2" customWidth="1"/>
    <col min="10718" max="10718" width="18.625" style="2" customWidth="1"/>
    <col min="10719" max="10719" width="6" style="2" customWidth="1"/>
    <col min="10720" max="10720" width="15.875" style="2" customWidth="1"/>
    <col min="10721" max="10721" width="10.375" style="2" customWidth="1"/>
    <col min="10722" max="10722" width="32.125" style="2" customWidth="1"/>
    <col min="10723" max="10723" width="13.625" style="2" customWidth="1"/>
    <col min="10724" max="10724" width="7.125" style="2" customWidth="1"/>
    <col min="10725" max="10725" width="4.375" style="2" customWidth="1"/>
    <col min="10726" max="10728" width="9.375" style="2" customWidth="1"/>
    <col min="10729" max="10971" width="8" style="2"/>
    <col min="10972" max="10972" width="1" style="2" customWidth="1"/>
    <col min="10973" max="10973" width="16.25" style="2" customWidth="1"/>
    <col min="10974" max="10974" width="18.625" style="2" customWidth="1"/>
    <col min="10975" max="10975" width="6" style="2" customWidth="1"/>
    <col min="10976" max="10976" width="15.875" style="2" customWidth="1"/>
    <col min="10977" max="10977" width="10.375" style="2" customWidth="1"/>
    <col min="10978" max="10978" width="32.125" style="2" customWidth="1"/>
    <col min="10979" max="10979" width="13.625" style="2" customWidth="1"/>
    <col min="10980" max="10980" width="7.125" style="2" customWidth="1"/>
    <col min="10981" max="10981" width="4.375" style="2" customWidth="1"/>
    <col min="10982" max="10984" width="9.375" style="2" customWidth="1"/>
    <col min="10985" max="11227" width="8" style="2"/>
    <col min="11228" max="11228" width="1" style="2" customWidth="1"/>
    <col min="11229" max="11229" width="16.25" style="2" customWidth="1"/>
    <col min="11230" max="11230" width="18.625" style="2" customWidth="1"/>
    <col min="11231" max="11231" width="6" style="2" customWidth="1"/>
    <col min="11232" max="11232" width="15.875" style="2" customWidth="1"/>
    <col min="11233" max="11233" width="10.375" style="2" customWidth="1"/>
    <col min="11234" max="11234" width="32.125" style="2" customWidth="1"/>
    <col min="11235" max="11235" width="13.625" style="2" customWidth="1"/>
    <col min="11236" max="11236" width="7.125" style="2" customWidth="1"/>
    <col min="11237" max="11237" width="4.375" style="2" customWidth="1"/>
    <col min="11238" max="11240" width="9.375" style="2" customWidth="1"/>
    <col min="11241" max="11483" width="9" style="2"/>
    <col min="11484" max="11484" width="1" style="2" customWidth="1"/>
    <col min="11485" max="11485" width="16.25" style="2" customWidth="1"/>
    <col min="11486" max="11486" width="18.625" style="2" customWidth="1"/>
    <col min="11487" max="11487" width="6" style="2" customWidth="1"/>
    <col min="11488" max="11488" width="15.875" style="2" customWidth="1"/>
    <col min="11489" max="11489" width="10.375" style="2" customWidth="1"/>
    <col min="11490" max="11490" width="32.125" style="2" customWidth="1"/>
    <col min="11491" max="11491" width="13.625" style="2" customWidth="1"/>
    <col min="11492" max="11492" width="7.125" style="2" customWidth="1"/>
    <col min="11493" max="11493" width="4.375" style="2" customWidth="1"/>
    <col min="11494" max="11496" width="9.375" style="2" customWidth="1"/>
    <col min="11497" max="11739" width="8" style="2"/>
    <col min="11740" max="11740" width="1" style="2" customWidth="1"/>
    <col min="11741" max="11741" width="16.25" style="2" customWidth="1"/>
    <col min="11742" max="11742" width="18.625" style="2" customWidth="1"/>
    <col min="11743" max="11743" width="6" style="2" customWidth="1"/>
    <col min="11744" max="11744" width="15.875" style="2" customWidth="1"/>
    <col min="11745" max="11745" width="10.375" style="2" customWidth="1"/>
    <col min="11746" max="11746" width="32.125" style="2" customWidth="1"/>
    <col min="11747" max="11747" width="13.625" style="2" customWidth="1"/>
    <col min="11748" max="11748" width="7.125" style="2" customWidth="1"/>
    <col min="11749" max="11749" width="4.375" style="2" customWidth="1"/>
    <col min="11750" max="11752" width="9.375" style="2" customWidth="1"/>
    <col min="11753" max="11995" width="8" style="2"/>
    <col min="11996" max="11996" width="1" style="2" customWidth="1"/>
    <col min="11997" max="11997" width="16.25" style="2" customWidth="1"/>
    <col min="11998" max="11998" width="18.625" style="2" customWidth="1"/>
    <col min="11999" max="11999" width="6" style="2" customWidth="1"/>
    <col min="12000" max="12000" width="15.875" style="2" customWidth="1"/>
    <col min="12001" max="12001" width="10.375" style="2" customWidth="1"/>
    <col min="12002" max="12002" width="32.125" style="2" customWidth="1"/>
    <col min="12003" max="12003" width="13.625" style="2" customWidth="1"/>
    <col min="12004" max="12004" width="7.125" style="2" customWidth="1"/>
    <col min="12005" max="12005" width="4.375" style="2" customWidth="1"/>
    <col min="12006" max="12008" width="9.375" style="2" customWidth="1"/>
    <col min="12009" max="12251" width="8" style="2"/>
    <col min="12252" max="12252" width="1" style="2" customWidth="1"/>
    <col min="12253" max="12253" width="16.25" style="2" customWidth="1"/>
    <col min="12254" max="12254" width="18.625" style="2" customWidth="1"/>
    <col min="12255" max="12255" width="6" style="2" customWidth="1"/>
    <col min="12256" max="12256" width="15.875" style="2" customWidth="1"/>
    <col min="12257" max="12257" width="10.375" style="2" customWidth="1"/>
    <col min="12258" max="12258" width="32.125" style="2" customWidth="1"/>
    <col min="12259" max="12259" width="13.625" style="2" customWidth="1"/>
    <col min="12260" max="12260" width="7.125" style="2" customWidth="1"/>
    <col min="12261" max="12261" width="4.375" style="2" customWidth="1"/>
    <col min="12262" max="12264" width="9.375" style="2" customWidth="1"/>
    <col min="12265" max="12507" width="9" style="2"/>
    <col min="12508" max="12508" width="1" style="2" customWidth="1"/>
    <col min="12509" max="12509" width="16.25" style="2" customWidth="1"/>
    <col min="12510" max="12510" width="18.625" style="2" customWidth="1"/>
    <col min="12511" max="12511" width="6" style="2" customWidth="1"/>
    <col min="12512" max="12512" width="15.875" style="2" customWidth="1"/>
    <col min="12513" max="12513" width="10.375" style="2" customWidth="1"/>
    <col min="12514" max="12514" width="32.125" style="2" customWidth="1"/>
    <col min="12515" max="12515" width="13.625" style="2" customWidth="1"/>
    <col min="12516" max="12516" width="7.125" style="2" customWidth="1"/>
    <col min="12517" max="12517" width="4.375" style="2" customWidth="1"/>
    <col min="12518" max="12520" width="9.375" style="2" customWidth="1"/>
    <col min="12521" max="12763" width="8" style="2"/>
    <col min="12764" max="12764" width="1" style="2" customWidth="1"/>
    <col min="12765" max="12765" width="16.25" style="2" customWidth="1"/>
    <col min="12766" max="12766" width="18.625" style="2" customWidth="1"/>
    <col min="12767" max="12767" width="6" style="2" customWidth="1"/>
    <col min="12768" max="12768" width="15.875" style="2" customWidth="1"/>
    <col min="12769" max="12769" width="10.375" style="2" customWidth="1"/>
    <col min="12770" max="12770" width="32.125" style="2" customWidth="1"/>
    <col min="12771" max="12771" width="13.625" style="2" customWidth="1"/>
    <col min="12772" max="12772" width="7.125" style="2" customWidth="1"/>
    <col min="12773" max="12773" width="4.375" style="2" customWidth="1"/>
    <col min="12774" max="12776" width="9.375" style="2" customWidth="1"/>
    <col min="12777" max="13019" width="8" style="2"/>
    <col min="13020" max="13020" width="1" style="2" customWidth="1"/>
    <col min="13021" max="13021" width="16.25" style="2" customWidth="1"/>
    <col min="13022" max="13022" width="18.625" style="2" customWidth="1"/>
    <col min="13023" max="13023" width="6" style="2" customWidth="1"/>
    <col min="13024" max="13024" width="15.875" style="2" customWidth="1"/>
    <col min="13025" max="13025" width="10.375" style="2" customWidth="1"/>
    <col min="13026" max="13026" width="32.125" style="2" customWidth="1"/>
    <col min="13027" max="13027" width="13.625" style="2" customWidth="1"/>
    <col min="13028" max="13028" width="7.125" style="2" customWidth="1"/>
    <col min="13029" max="13029" width="4.375" style="2" customWidth="1"/>
    <col min="13030" max="13032" width="9.375" style="2" customWidth="1"/>
    <col min="13033" max="13275" width="8" style="2"/>
    <col min="13276" max="13276" width="1" style="2" customWidth="1"/>
    <col min="13277" max="13277" width="16.25" style="2" customWidth="1"/>
    <col min="13278" max="13278" width="18.625" style="2" customWidth="1"/>
    <col min="13279" max="13279" width="6" style="2" customWidth="1"/>
    <col min="13280" max="13280" width="15.875" style="2" customWidth="1"/>
    <col min="13281" max="13281" width="10.375" style="2" customWidth="1"/>
    <col min="13282" max="13282" width="32.125" style="2" customWidth="1"/>
    <col min="13283" max="13283" width="13.625" style="2" customWidth="1"/>
    <col min="13284" max="13284" width="7.125" style="2" customWidth="1"/>
    <col min="13285" max="13285" width="4.375" style="2" customWidth="1"/>
    <col min="13286" max="13288" width="9.375" style="2" customWidth="1"/>
    <col min="13289" max="13531" width="9" style="2"/>
    <col min="13532" max="13532" width="1" style="2" customWidth="1"/>
    <col min="13533" max="13533" width="16.25" style="2" customWidth="1"/>
    <col min="13534" max="13534" width="18.625" style="2" customWidth="1"/>
    <col min="13535" max="13535" width="6" style="2" customWidth="1"/>
    <col min="13536" max="13536" width="15.875" style="2" customWidth="1"/>
    <col min="13537" max="13537" width="10.375" style="2" customWidth="1"/>
    <col min="13538" max="13538" width="32.125" style="2" customWidth="1"/>
    <col min="13539" max="13539" width="13.625" style="2" customWidth="1"/>
    <col min="13540" max="13540" width="7.125" style="2" customWidth="1"/>
    <col min="13541" max="13541" width="4.375" style="2" customWidth="1"/>
    <col min="13542" max="13544" width="9.375" style="2" customWidth="1"/>
    <col min="13545" max="13787" width="8" style="2"/>
    <col min="13788" max="13788" width="1" style="2" customWidth="1"/>
    <col min="13789" max="13789" width="16.25" style="2" customWidth="1"/>
    <col min="13790" max="13790" width="18.625" style="2" customWidth="1"/>
    <col min="13791" max="13791" width="6" style="2" customWidth="1"/>
    <col min="13792" max="13792" width="15.875" style="2" customWidth="1"/>
    <col min="13793" max="13793" width="10.375" style="2" customWidth="1"/>
    <col min="13794" max="13794" width="32.125" style="2" customWidth="1"/>
    <col min="13795" max="13795" width="13.625" style="2" customWidth="1"/>
    <col min="13796" max="13796" width="7.125" style="2" customWidth="1"/>
    <col min="13797" max="13797" width="4.375" style="2" customWidth="1"/>
    <col min="13798" max="13800" width="9.375" style="2" customWidth="1"/>
    <col min="13801" max="14043" width="8" style="2"/>
    <col min="14044" max="14044" width="1" style="2" customWidth="1"/>
    <col min="14045" max="14045" width="16.25" style="2" customWidth="1"/>
    <col min="14046" max="14046" width="18.625" style="2" customWidth="1"/>
    <col min="14047" max="14047" width="6" style="2" customWidth="1"/>
    <col min="14048" max="14048" width="15.875" style="2" customWidth="1"/>
    <col min="14049" max="14049" width="10.375" style="2" customWidth="1"/>
    <col min="14050" max="14050" width="32.125" style="2" customWidth="1"/>
    <col min="14051" max="14051" width="13.625" style="2" customWidth="1"/>
    <col min="14052" max="14052" width="7.125" style="2" customWidth="1"/>
    <col min="14053" max="14053" width="4.375" style="2" customWidth="1"/>
    <col min="14054" max="14056" width="9.375" style="2" customWidth="1"/>
    <col min="14057" max="14299" width="8" style="2"/>
    <col min="14300" max="14300" width="1" style="2" customWidth="1"/>
    <col min="14301" max="14301" width="16.25" style="2" customWidth="1"/>
    <col min="14302" max="14302" width="18.625" style="2" customWidth="1"/>
    <col min="14303" max="14303" width="6" style="2" customWidth="1"/>
    <col min="14304" max="14304" width="15.875" style="2" customWidth="1"/>
    <col min="14305" max="14305" width="10.375" style="2" customWidth="1"/>
    <col min="14306" max="14306" width="32.125" style="2" customWidth="1"/>
    <col min="14307" max="14307" width="13.625" style="2" customWidth="1"/>
    <col min="14308" max="14308" width="7.125" style="2" customWidth="1"/>
    <col min="14309" max="14309" width="4.375" style="2" customWidth="1"/>
    <col min="14310" max="14312" width="9.375" style="2" customWidth="1"/>
    <col min="14313" max="14555" width="9" style="2"/>
    <col min="14556" max="14556" width="1" style="2" customWidth="1"/>
    <col min="14557" max="14557" width="16.25" style="2" customWidth="1"/>
    <col min="14558" max="14558" width="18.625" style="2" customWidth="1"/>
    <col min="14559" max="14559" width="6" style="2" customWidth="1"/>
    <col min="14560" max="14560" width="15.875" style="2" customWidth="1"/>
    <col min="14561" max="14561" width="10.375" style="2" customWidth="1"/>
    <col min="14562" max="14562" width="32.125" style="2" customWidth="1"/>
    <col min="14563" max="14563" width="13.625" style="2" customWidth="1"/>
    <col min="14564" max="14564" width="7.125" style="2" customWidth="1"/>
    <col min="14565" max="14565" width="4.375" style="2" customWidth="1"/>
    <col min="14566" max="14568" width="9.375" style="2" customWidth="1"/>
    <col min="14569" max="14811" width="8" style="2"/>
    <col min="14812" max="14812" width="1" style="2" customWidth="1"/>
    <col min="14813" max="14813" width="16.25" style="2" customWidth="1"/>
    <col min="14814" max="14814" width="18.625" style="2" customWidth="1"/>
    <col min="14815" max="14815" width="6" style="2" customWidth="1"/>
    <col min="14816" max="14816" width="15.875" style="2" customWidth="1"/>
    <col min="14817" max="14817" width="10.375" style="2" customWidth="1"/>
    <col min="14818" max="14818" width="32.125" style="2" customWidth="1"/>
    <col min="14819" max="14819" width="13.625" style="2" customWidth="1"/>
    <col min="14820" max="14820" width="7.125" style="2" customWidth="1"/>
    <col min="14821" max="14821" width="4.375" style="2" customWidth="1"/>
    <col min="14822" max="14824" width="9.375" style="2" customWidth="1"/>
    <col min="14825" max="15067" width="8" style="2"/>
    <col min="15068" max="15068" width="1" style="2" customWidth="1"/>
    <col min="15069" max="15069" width="16.25" style="2" customWidth="1"/>
    <col min="15070" max="15070" width="18.625" style="2" customWidth="1"/>
    <col min="15071" max="15071" width="6" style="2" customWidth="1"/>
    <col min="15072" max="15072" width="15.875" style="2" customWidth="1"/>
    <col min="15073" max="15073" width="10.375" style="2" customWidth="1"/>
    <col min="15074" max="15074" width="32.125" style="2" customWidth="1"/>
    <col min="15075" max="15075" width="13.625" style="2" customWidth="1"/>
    <col min="15076" max="15076" width="7.125" style="2" customWidth="1"/>
    <col min="15077" max="15077" width="4.375" style="2" customWidth="1"/>
    <col min="15078" max="15080" width="9.375" style="2" customWidth="1"/>
    <col min="15081" max="15323" width="8" style="2"/>
    <col min="15324" max="15324" width="1" style="2" customWidth="1"/>
    <col min="15325" max="15325" width="16.25" style="2" customWidth="1"/>
    <col min="15326" max="15326" width="18.625" style="2" customWidth="1"/>
    <col min="15327" max="15327" width="6" style="2" customWidth="1"/>
    <col min="15328" max="15328" width="15.875" style="2" customWidth="1"/>
    <col min="15329" max="15329" width="10.375" style="2" customWidth="1"/>
    <col min="15330" max="15330" width="32.125" style="2" customWidth="1"/>
    <col min="15331" max="15331" width="13.625" style="2" customWidth="1"/>
    <col min="15332" max="15332" width="7.125" style="2" customWidth="1"/>
    <col min="15333" max="15333" width="4.375" style="2" customWidth="1"/>
    <col min="15334" max="15336" width="9.375" style="2" customWidth="1"/>
    <col min="15337" max="15579" width="9" style="2"/>
    <col min="15580" max="15580" width="1" style="2" customWidth="1"/>
    <col min="15581" max="15581" width="16.25" style="2" customWidth="1"/>
    <col min="15582" max="15582" width="18.625" style="2" customWidth="1"/>
    <col min="15583" max="15583" width="6" style="2" customWidth="1"/>
    <col min="15584" max="15584" width="15.875" style="2" customWidth="1"/>
    <col min="15585" max="15585" width="10.375" style="2" customWidth="1"/>
    <col min="15586" max="15586" width="32.125" style="2" customWidth="1"/>
    <col min="15587" max="15587" width="13.625" style="2" customWidth="1"/>
    <col min="15588" max="15588" width="7.125" style="2" customWidth="1"/>
    <col min="15589" max="15589" width="4.375" style="2" customWidth="1"/>
    <col min="15590" max="15592" width="9.375" style="2" customWidth="1"/>
    <col min="15593" max="15835" width="8" style="2"/>
    <col min="15836" max="15836" width="1" style="2" customWidth="1"/>
    <col min="15837" max="15837" width="16.25" style="2" customWidth="1"/>
    <col min="15838" max="15838" width="18.625" style="2" customWidth="1"/>
    <col min="15839" max="15839" width="6" style="2" customWidth="1"/>
    <col min="15840" max="15840" width="15.875" style="2" customWidth="1"/>
    <col min="15841" max="15841" width="10.375" style="2" customWidth="1"/>
    <col min="15842" max="15842" width="32.125" style="2" customWidth="1"/>
    <col min="15843" max="15843" width="13.625" style="2" customWidth="1"/>
    <col min="15844" max="15844" width="7.125" style="2" customWidth="1"/>
    <col min="15845" max="15845" width="4.375" style="2" customWidth="1"/>
    <col min="15846" max="15848" width="9.375" style="2" customWidth="1"/>
    <col min="15849" max="16091" width="8" style="2"/>
    <col min="16092" max="16092" width="1" style="2" customWidth="1"/>
    <col min="16093" max="16093" width="16.25" style="2" customWidth="1"/>
    <col min="16094" max="16094" width="18.625" style="2" customWidth="1"/>
    <col min="16095" max="16095" width="6" style="2" customWidth="1"/>
    <col min="16096" max="16096" width="15.875" style="2" customWidth="1"/>
    <col min="16097" max="16097" width="10.375" style="2" customWidth="1"/>
    <col min="16098" max="16098" width="32.125" style="2" customWidth="1"/>
    <col min="16099" max="16099" width="13.625" style="2" customWidth="1"/>
    <col min="16100" max="16100" width="7.125" style="2" customWidth="1"/>
    <col min="16101" max="16101" width="4.375" style="2" customWidth="1"/>
    <col min="16102" max="16104" width="9.375" style="2" customWidth="1"/>
    <col min="16105" max="16384" width="9" style="2"/>
  </cols>
  <sheetData>
    <row r="1" spans="2:21" s="15" customFormat="1" ht="84.75" customHeight="1" x14ac:dyDescent="0.2">
      <c r="H1" s="375" t="s">
        <v>131</v>
      </c>
      <c r="L1" s="17"/>
      <c r="M1" s="377" t="s">
        <v>89</v>
      </c>
    </row>
    <row r="2" spans="2:21" s="5" customFormat="1" ht="47.25" customHeight="1" x14ac:dyDescent="0.2">
      <c r="C2" s="25" t="s">
        <v>68</v>
      </c>
      <c r="D2" s="434" t="str">
        <f>'0.Page d''accueil'!F5</f>
        <v>Municipalité de référence</v>
      </c>
      <c r="E2" s="434"/>
      <c r="F2" s="434"/>
      <c r="G2"/>
      <c r="H2" s="3"/>
      <c r="J2" s="4"/>
      <c r="K2" s="4"/>
      <c r="L2" s="16"/>
      <c r="U2" s="2" t="s">
        <v>16</v>
      </c>
    </row>
    <row r="3" spans="2:21" s="5" customFormat="1" ht="27.75" customHeight="1" thickBot="1" x14ac:dyDescent="0.25">
      <c r="C3" s="24" t="s">
        <v>88</v>
      </c>
      <c r="D3" s="426" t="s">
        <v>139</v>
      </c>
      <c r="E3" s="426"/>
      <c r="F3" s="426"/>
      <c r="G3" s="426"/>
      <c r="H3" s="426"/>
      <c r="I3" s="426"/>
      <c r="J3" s="426"/>
      <c r="K3" s="426"/>
      <c r="L3" s="426"/>
      <c r="M3" s="426"/>
      <c r="N3" s="426"/>
      <c r="U3" s="5" t="s">
        <v>26</v>
      </c>
    </row>
    <row r="4" spans="2:21" s="5" customFormat="1" ht="3.75" hidden="1" customHeight="1" thickBot="1" x14ac:dyDescent="0.3">
      <c r="C4" s="34"/>
      <c r="U4" s="5" t="s">
        <v>21</v>
      </c>
    </row>
    <row r="5" spans="2:21" s="38" customFormat="1" ht="12.75" hidden="1" customHeight="1" x14ac:dyDescent="0.25">
      <c r="C5" s="34" t="s">
        <v>16</v>
      </c>
    </row>
    <row r="6" spans="2:21" s="38" customFormat="1" ht="13.5" hidden="1" customHeight="1" thickBot="1" x14ac:dyDescent="0.3">
      <c r="C6" s="34" t="s">
        <v>26</v>
      </c>
    </row>
    <row r="7" spans="2:21" s="38" customFormat="1" ht="13.5" hidden="1" customHeight="1" thickBot="1" x14ac:dyDescent="0.3">
      <c r="C7" s="34" t="s">
        <v>30</v>
      </c>
    </row>
    <row r="8" spans="2:21" s="38" customFormat="1" ht="13.5" hidden="1" customHeight="1" thickBot="1" x14ac:dyDescent="0.3">
      <c r="C8" s="34" t="s">
        <v>21</v>
      </c>
    </row>
    <row r="9" spans="2:21" ht="64.5" customHeight="1" thickBot="1" x14ac:dyDescent="0.25">
      <c r="H9" s="432" t="s">
        <v>119</v>
      </c>
      <c r="I9" s="433"/>
      <c r="J9" s="433"/>
      <c r="K9" s="386" t="s">
        <v>120</v>
      </c>
      <c r="L9" s="15"/>
      <c r="M9" s="15"/>
    </row>
    <row r="10" spans="2:21" s="5" customFormat="1" ht="40.5" customHeight="1" x14ac:dyDescent="0.2">
      <c r="C10" s="83" t="s">
        <v>115</v>
      </c>
      <c r="D10" s="83" t="s">
        <v>116</v>
      </c>
      <c r="E10" s="84" t="s">
        <v>91</v>
      </c>
      <c r="F10" s="97" t="s">
        <v>92</v>
      </c>
      <c r="G10" s="84" t="s">
        <v>117</v>
      </c>
      <c r="H10" s="98" t="s">
        <v>118</v>
      </c>
      <c r="I10" s="99" t="s">
        <v>132</v>
      </c>
      <c r="J10" s="101" t="s">
        <v>122</v>
      </c>
      <c r="K10" s="153" t="s">
        <v>123</v>
      </c>
      <c r="L10" s="100" t="s">
        <v>124</v>
      </c>
      <c r="M10" s="87" t="s">
        <v>103</v>
      </c>
      <c r="N10" s="102" t="s">
        <v>125</v>
      </c>
      <c r="O10" s="7"/>
      <c r="P10" s="7"/>
      <c r="Q10" s="7"/>
      <c r="R10" s="7"/>
      <c r="S10" s="7"/>
      <c r="T10" s="9"/>
    </row>
    <row r="11" spans="2:21" s="5" customFormat="1" ht="57.75" customHeight="1" x14ac:dyDescent="0.2">
      <c r="B11" s="429" t="s">
        <v>90</v>
      </c>
      <c r="C11" s="166" t="s">
        <v>133</v>
      </c>
      <c r="D11" s="387" t="s">
        <v>138</v>
      </c>
      <c r="E11" s="292">
        <v>43769</v>
      </c>
      <c r="F11" s="292">
        <v>43779</v>
      </c>
      <c r="G11" s="167" t="s">
        <v>134</v>
      </c>
      <c r="H11" s="168"/>
      <c r="I11" s="169"/>
      <c r="J11" s="148" t="s">
        <v>136</v>
      </c>
      <c r="K11" s="170">
        <v>4300</v>
      </c>
      <c r="L11" s="171" t="s">
        <v>36</v>
      </c>
      <c r="M11" s="172">
        <v>1165</v>
      </c>
      <c r="N11" s="173">
        <v>4300</v>
      </c>
    </row>
    <row r="12" spans="2:21" s="5" customFormat="1" ht="44.25" customHeight="1" x14ac:dyDescent="0.2">
      <c r="B12" s="429"/>
      <c r="C12" s="174" t="s">
        <v>53</v>
      </c>
      <c r="D12" s="174" t="s">
        <v>140</v>
      </c>
      <c r="E12" s="292">
        <v>43918</v>
      </c>
      <c r="F12" s="292">
        <v>43981</v>
      </c>
      <c r="G12" s="383" t="s">
        <v>135</v>
      </c>
      <c r="H12" s="168"/>
      <c r="I12" s="169"/>
      <c r="J12" s="148" t="s">
        <v>137</v>
      </c>
      <c r="K12" s="170">
        <v>11000</v>
      </c>
      <c r="L12" s="171">
        <v>1800</v>
      </c>
      <c r="M12" s="172">
        <v>25</v>
      </c>
      <c r="N12" s="173">
        <v>12800</v>
      </c>
    </row>
    <row r="13" spans="2:21" s="5" customFormat="1" ht="12.75" hidden="1" x14ac:dyDescent="0.2">
      <c r="C13" s="319"/>
      <c r="D13" s="319"/>
      <c r="E13" s="321"/>
      <c r="F13" s="322"/>
      <c r="G13" s="320"/>
      <c r="H13" s="323"/>
      <c r="I13" s="324"/>
      <c r="J13" s="325" t="e">
        <f>IF(#REF!="R",Table13[[#This Row],[Heures suppl. Travaillées]]*Table13[[#This Row],[Taux des heures supplémentaires]],"R Only")</f>
        <v>#REF!</v>
      </c>
      <c r="K13" s="326"/>
      <c r="L13" s="327"/>
      <c r="M13" s="328"/>
      <c r="N13" s="329" t="e">
        <f>IF(Table1319[[#This Row],[Type d''employé (P, T, R)]]="R",SUM(Table13[[#This Row],[Salaire total (P)]],#REF!),SUM(#REF!))</f>
        <v>#VALUE!</v>
      </c>
    </row>
    <row r="14" spans="2:21" s="5" customFormat="1" ht="0.75" hidden="1" customHeight="1" x14ac:dyDescent="0.2">
      <c r="C14" s="177" t="s">
        <v>45</v>
      </c>
      <c r="D14" s="178" t="s">
        <v>25</v>
      </c>
      <c r="E14" s="179" t="s">
        <v>17</v>
      </c>
      <c r="F14" s="179" t="s">
        <v>38</v>
      </c>
      <c r="G14" s="178" t="s">
        <v>3</v>
      </c>
      <c r="H14" s="92" t="s">
        <v>18</v>
      </c>
      <c r="I14" s="175" t="s">
        <v>19</v>
      </c>
      <c r="J14" s="176" t="s">
        <v>20</v>
      </c>
      <c r="K14" s="180" t="s">
        <v>22</v>
      </c>
      <c r="L14" s="181" t="s">
        <v>32</v>
      </c>
      <c r="M14" s="182" t="s">
        <v>65</v>
      </c>
      <c r="N14" s="183" t="s">
        <v>24</v>
      </c>
    </row>
    <row r="15" spans="2:21" s="5" customFormat="1" ht="12.75" x14ac:dyDescent="0.2">
      <c r="C15" s="188"/>
      <c r="D15" s="210" t="s">
        <v>127</v>
      </c>
      <c r="E15" s="253"/>
      <c r="F15" s="253"/>
      <c r="G15" s="164"/>
      <c r="H15" s="189"/>
      <c r="I15" s="190"/>
      <c r="J15" s="191" t="str">
        <f>IF(D15="R",ECCapital[[#This Row],[OT Hours Worked (Full Time Only)]]*ECCapital[[#This Row],[Overtime Hourly Wage (Full Time Only)]],"P seulment")</f>
        <v>P seulment</v>
      </c>
      <c r="K15" s="195"/>
      <c r="L15" s="190"/>
      <c r="M15" s="370"/>
      <c r="N15" s="187">
        <f>IF(ECCapital[[#This Row],[(R), (TE) or (BF)]]="R",SUM(ECCapital[[#This Row],[Total Wage (Full Time Only)]],ECCapital[[#This Row],[Benefits]]),SUM(ECCapital[[#This Row],[Amount Claimed (Temp or Backfill)]]))</f>
        <v>0</v>
      </c>
    </row>
    <row r="16" spans="2:21" s="5" customFormat="1" ht="12.75" x14ac:dyDescent="0.2">
      <c r="C16" s="188"/>
      <c r="D16" s="210" t="s">
        <v>127</v>
      </c>
      <c r="E16" s="253"/>
      <c r="F16" s="253"/>
      <c r="G16" s="164"/>
      <c r="H16" s="189"/>
      <c r="I16" s="190"/>
      <c r="J16" s="192" t="str">
        <f>IF(D16="R",ECCapital[[#This Row],[OT Hours Worked (Full Time Only)]]*ECCapital[[#This Row],[Overtime Hourly Wage (Full Time Only)]],"P seulment")</f>
        <v>P seulment</v>
      </c>
      <c r="K16" s="195"/>
      <c r="L16" s="190"/>
      <c r="M16" s="370"/>
      <c r="N16" s="187">
        <f>IF(ECCapital[[#This Row],[(R), (TE) or (BF)]]="R",SUM(ECCapital[[#This Row],[Total Wage (Full Time Only)]],ECCapital[[#This Row],[Benefits]]),SUM(ECCapital[[#This Row],[Amount Claimed (Temp or Backfill)]]))</f>
        <v>0</v>
      </c>
    </row>
    <row r="17" spans="3:14" s="5" customFormat="1" ht="12.75" x14ac:dyDescent="0.2">
      <c r="C17" s="188"/>
      <c r="D17" s="210" t="s">
        <v>127</v>
      </c>
      <c r="E17" s="253"/>
      <c r="F17" s="253"/>
      <c r="G17" s="164"/>
      <c r="H17" s="189"/>
      <c r="I17" s="190"/>
      <c r="J17" s="192" t="str">
        <f>IF(D17="R",ECCapital[[#This Row],[OT Hours Worked (Full Time Only)]]*ECCapital[[#This Row],[Overtime Hourly Wage (Full Time Only)]],"P seulment")</f>
        <v>P seulment</v>
      </c>
      <c r="K17" s="195"/>
      <c r="L17" s="190"/>
      <c r="M17" s="370"/>
      <c r="N17" s="187">
        <f>IF(ECCapital[[#This Row],[(R), (TE) or (BF)]]="R",SUM(ECCapital[[#This Row],[Total Wage (Full Time Only)]],ECCapital[[#This Row],[Benefits]]),SUM(ECCapital[[#This Row],[Amount Claimed (Temp or Backfill)]]))</f>
        <v>0</v>
      </c>
    </row>
    <row r="18" spans="3:14" s="5" customFormat="1" ht="12.75" x14ac:dyDescent="0.2">
      <c r="C18" s="188"/>
      <c r="D18" s="210" t="s">
        <v>127</v>
      </c>
      <c r="E18" s="253"/>
      <c r="F18" s="253"/>
      <c r="G18" s="164"/>
      <c r="H18" s="189"/>
      <c r="I18" s="190"/>
      <c r="J18" s="192" t="str">
        <f>IF(D18="R",ECCapital[[#This Row],[OT Hours Worked (Full Time Only)]]*ECCapital[[#This Row],[Overtime Hourly Wage (Full Time Only)]],"P seulment")</f>
        <v>P seulment</v>
      </c>
      <c r="K18" s="195"/>
      <c r="L18" s="190"/>
      <c r="M18" s="370"/>
      <c r="N18" s="187">
        <f>IF(ECCapital[[#This Row],[(R), (TE) or (BF)]]="R",SUM(ECCapital[[#This Row],[Total Wage (Full Time Only)]],ECCapital[[#This Row],[Benefits]]),SUM(ECCapital[[#This Row],[Amount Claimed (Temp or Backfill)]]))</f>
        <v>0</v>
      </c>
    </row>
    <row r="19" spans="3:14" s="5" customFormat="1" ht="12.75" x14ac:dyDescent="0.2">
      <c r="C19" s="188"/>
      <c r="D19" s="210" t="s">
        <v>127</v>
      </c>
      <c r="E19" s="253"/>
      <c r="F19" s="253"/>
      <c r="G19" s="164"/>
      <c r="H19" s="189"/>
      <c r="I19" s="190"/>
      <c r="J19" s="192" t="str">
        <f>IF(D19="R",ECCapital[[#This Row],[OT Hours Worked (Full Time Only)]]*ECCapital[[#This Row],[Overtime Hourly Wage (Full Time Only)]],"P seulment")</f>
        <v>P seulment</v>
      </c>
      <c r="K19" s="195"/>
      <c r="L19" s="190"/>
      <c r="M19" s="370"/>
      <c r="N19" s="187">
        <f>IF(ECCapital[[#This Row],[(R), (TE) or (BF)]]="R",SUM(ECCapital[[#This Row],[Total Wage (Full Time Only)]],ECCapital[[#This Row],[Benefits]]),SUM(ECCapital[[#This Row],[Amount Claimed (Temp or Backfill)]]))</f>
        <v>0</v>
      </c>
    </row>
    <row r="20" spans="3:14" s="5" customFormat="1" ht="12.75" x14ac:dyDescent="0.2">
      <c r="C20" s="188"/>
      <c r="D20" s="210" t="s">
        <v>127</v>
      </c>
      <c r="E20" s="253"/>
      <c r="F20" s="253"/>
      <c r="G20" s="164"/>
      <c r="H20" s="189"/>
      <c r="I20" s="190"/>
      <c r="J20" s="192" t="str">
        <f>IF(D20="R",ECCapital[[#This Row],[OT Hours Worked (Full Time Only)]]*ECCapital[[#This Row],[Overtime Hourly Wage (Full Time Only)]],"P seulment")</f>
        <v>P seulment</v>
      </c>
      <c r="K20" s="195"/>
      <c r="L20" s="190"/>
      <c r="M20" s="370"/>
      <c r="N20" s="187">
        <f>IF(ECCapital[[#This Row],[(R), (TE) or (BF)]]="R",SUM(ECCapital[[#This Row],[Total Wage (Full Time Only)]],ECCapital[[#This Row],[Benefits]]),SUM(ECCapital[[#This Row],[Amount Claimed (Temp or Backfill)]]))</f>
        <v>0</v>
      </c>
    </row>
    <row r="21" spans="3:14" s="5" customFormat="1" ht="12.75" x14ac:dyDescent="0.2">
      <c r="C21" s="188"/>
      <c r="D21" s="210" t="s">
        <v>127</v>
      </c>
      <c r="E21" s="253"/>
      <c r="F21" s="253"/>
      <c r="G21" s="164"/>
      <c r="H21" s="189"/>
      <c r="I21" s="190"/>
      <c r="J21" s="192" t="str">
        <f>IF(D21="R",ECCapital[[#This Row],[OT Hours Worked (Full Time Only)]]*ECCapital[[#This Row],[Overtime Hourly Wage (Full Time Only)]],"P seulment")</f>
        <v>P seulment</v>
      </c>
      <c r="K21" s="195"/>
      <c r="L21" s="190"/>
      <c r="M21" s="370"/>
      <c r="N21" s="187">
        <f>IF(ECCapital[[#This Row],[(R), (TE) or (BF)]]="R",SUM(ECCapital[[#This Row],[Total Wage (Full Time Only)]],ECCapital[[#This Row],[Benefits]]),SUM(ECCapital[[#This Row],[Amount Claimed (Temp or Backfill)]]))</f>
        <v>0</v>
      </c>
    </row>
    <row r="22" spans="3:14" s="5" customFormat="1" ht="12.75" x14ac:dyDescent="0.2">
      <c r="C22" s="193"/>
      <c r="D22" s="210" t="s">
        <v>127</v>
      </c>
      <c r="E22" s="253"/>
      <c r="F22" s="253"/>
      <c r="G22" s="164"/>
      <c r="H22" s="189"/>
      <c r="I22" s="190"/>
      <c r="J22" s="192" t="str">
        <f>IF(D22="R",ECCapital[[#This Row],[OT Hours Worked (Full Time Only)]]*ECCapital[[#This Row],[Overtime Hourly Wage (Full Time Only)]],"P seulment")</f>
        <v>P seulment</v>
      </c>
      <c r="K22" s="195"/>
      <c r="L22" s="190"/>
      <c r="M22" s="370"/>
      <c r="N22" s="187">
        <f>IF(ECCapital[[#This Row],[(R), (TE) or (BF)]]="R",SUM(ECCapital[[#This Row],[Total Wage (Full Time Only)]],ECCapital[[#This Row],[Benefits]]),SUM(ECCapital[[#This Row],[Amount Claimed (Temp or Backfill)]]))</f>
        <v>0</v>
      </c>
    </row>
    <row r="23" spans="3:14" s="5" customFormat="1" ht="12.75" x14ac:dyDescent="0.2">
      <c r="C23" s="193"/>
      <c r="D23" s="210" t="s">
        <v>127</v>
      </c>
      <c r="E23" s="253"/>
      <c r="F23" s="253"/>
      <c r="G23" s="164"/>
      <c r="H23" s="189"/>
      <c r="I23" s="190"/>
      <c r="J23" s="192" t="str">
        <f>IF(D23="R",ECCapital[[#This Row],[OT Hours Worked (Full Time Only)]]*ECCapital[[#This Row],[Overtime Hourly Wage (Full Time Only)]],"P seulment")</f>
        <v>P seulment</v>
      </c>
      <c r="K23" s="195"/>
      <c r="L23" s="190"/>
      <c r="M23" s="370"/>
      <c r="N23" s="187">
        <f>IF(ECCapital[[#This Row],[(R), (TE) or (BF)]]="R",SUM(ECCapital[[#This Row],[Total Wage (Full Time Only)]],ECCapital[[#This Row],[Benefits]]),SUM(ECCapital[[#This Row],[Amount Claimed (Temp or Backfill)]]))</f>
        <v>0</v>
      </c>
    </row>
    <row r="24" spans="3:14" s="5" customFormat="1" ht="12.75" x14ac:dyDescent="0.2">
      <c r="C24" s="193"/>
      <c r="D24" s="210" t="s">
        <v>127</v>
      </c>
      <c r="E24" s="253"/>
      <c r="F24" s="253"/>
      <c r="G24" s="164"/>
      <c r="H24" s="189"/>
      <c r="I24" s="190"/>
      <c r="J24" s="192" t="str">
        <f>IF(D24="R",ECCapital[[#This Row],[OT Hours Worked (Full Time Only)]]*ECCapital[[#This Row],[Overtime Hourly Wage (Full Time Only)]],"P seulment")</f>
        <v>P seulment</v>
      </c>
      <c r="K24" s="195"/>
      <c r="L24" s="190"/>
      <c r="M24" s="370"/>
      <c r="N24" s="187">
        <f>IF(ECCapital[[#This Row],[(R), (TE) or (BF)]]="R",SUM(ECCapital[[#This Row],[Total Wage (Full Time Only)]],ECCapital[[#This Row],[Benefits]]),SUM(ECCapital[[#This Row],[Amount Claimed (Temp or Backfill)]]))</f>
        <v>0</v>
      </c>
    </row>
    <row r="25" spans="3:14" s="5" customFormat="1" ht="12.75" x14ac:dyDescent="0.2">
      <c r="C25" s="193"/>
      <c r="D25" s="210" t="s">
        <v>127</v>
      </c>
      <c r="E25" s="253"/>
      <c r="F25" s="253"/>
      <c r="G25" s="164"/>
      <c r="H25" s="189"/>
      <c r="I25" s="190"/>
      <c r="J25" s="192" t="str">
        <f>IF(D25="R",ECCapital[[#This Row],[OT Hours Worked (Full Time Only)]]*ECCapital[[#This Row],[Overtime Hourly Wage (Full Time Only)]],"P seulment")</f>
        <v>P seulment</v>
      </c>
      <c r="K25" s="195"/>
      <c r="L25" s="190"/>
      <c r="M25" s="370"/>
      <c r="N25" s="187">
        <f>IF(ECCapital[[#This Row],[(R), (TE) or (BF)]]="R",SUM(ECCapital[[#This Row],[Total Wage (Full Time Only)]],ECCapital[[#This Row],[Benefits]]),SUM(ECCapital[[#This Row],[Amount Claimed (Temp or Backfill)]]))</f>
        <v>0</v>
      </c>
    </row>
    <row r="26" spans="3:14" s="5" customFormat="1" ht="12.75" x14ac:dyDescent="0.2">
      <c r="C26" s="193"/>
      <c r="D26" s="210" t="s">
        <v>127</v>
      </c>
      <c r="E26" s="253"/>
      <c r="F26" s="253"/>
      <c r="G26" s="164"/>
      <c r="H26" s="189"/>
      <c r="I26" s="190"/>
      <c r="J26" s="192" t="str">
        <f>IF(D26="R",ECCapital[[#This Row],[OT Hours Worked (Full Time Only)]]*ECCapital[[#This Row],[Overtime Hourly Wage (Full Time Only)]],"P seulment")</f>
        <v>P seulment</v>
      </c>
      <c r="K26" s="195"/>
      <c r="L26" s="190"/>
      <c r="M26" s="370"/>
      <c r="N26" s="187">
        <f>IF(ECCapital[[#This Row],[(R), (TE) or (BF)]]="R",SUM(ECCapital[[#This Row],[Total Wage (Full Time Only)]],ECCapital[[#This Row],[Benefits]]),SUM(ECCapital[[#This Row],[Amount Claimed (Temp or Backfill)]]))</f>
        <v>0</v>
      </c>
    </row>
    <row r="27" spans="3:14" s="5" customFormat="1" ht="12.75" x14ac:dyDescent="0.2">
      <c r="C27" s="188"/>
      <c r="D27" s="210" t="s">
        <v>127</v>
      </c>
      <c r="E27" s="253"/>
      <c r="F27" s="253"/>
      <c r="G27" s="164"/>
      <c r="H27" s="189"/>
      <c r="I27" s="190"/>
      <c r="J27" s="192" t="str">
        <f>IF(D27="R",ECCapital[[#This Row],[OT Hours Worked (Full Time Only)]]*ECCapital[[#This Row],[Overtime Hourly Wage (Full Time Only)]],"P seulment")</f>
        <v>P seulment</v>
      </c>
      <c r="K27" s="195"/>
      <c r="L27" s="190"/>
      <c r="M27" s="370"/>
      <c r="N27" s="187">
        <f>IF(ECCapital[[#This Row],[(R), (TE) or (BF)]]="R",SUM(ECCapital[[#This Row],[Total Wage (Full Time Only)]],ECCapital[[#This Row],[Benefits]]),SUM(ECCapital[[#This Row],[Amount Claimed (Temp or Backfill)]]))</f>
        <v>0</v>
      </c>
    </row>
    <row r="28" spans="3:14" s="5" customFormat="1" ht="12.75" x14ac:dyDescent="0.2">
      <c r="C28" s="188"/>
      <c r="D28" s="210" t="s">
        <v>127</v>
      </c>
      <c r="E28" s="253"/>
      <c r="F28" s="253"/>
      <c r="G28" s="164"/>
      <c r="H28" s="189"/>
      <c r="I28" s="190"/>
      <c r="J28" s="192" t="str">
        <f>IF(D28="R",ECCapital[[#This Row],[OT Hours Worked (Full Time Only)]]*ECCapital[[#This Row],[Overtime Hourly Wage (Full Time Only)]],"P seulment")</f>
        <v>P seulment</v>
      </c>
      <c r="K28" s="195"/>
      <c r="L28" s="190"/>
      <c r="M28" s="370"/>
      <c r="N28" s="187">
        <f>IF(ECCapital[[#This Row],[(R), (TE) or (BF)]]="R",SUM(ECCapital[[#This Row],[Total Wage (Full Time Only)]],ECCapital[[#This Row],[Benefits]]),SUM(ECCapital[[#This Row],[Amount Claimed (Temp or Backfill)]]))</f>
        <v>0</v>
      </c>
    </row>
    <row r="29" spans="3:14" s="38" customFormat="1" ht="12.75" x14ac:dyDescent="0.2">
      <c r="C29" s="188"/>
      <c r="D29" s="210" t="s">
        <v>127</v>
      </c>
      <c r="E29" s="253"/>
      <c r="F29" s="253"/>
      <c r="G29" s="164"/>
      <c r="H29" s="189"/>
      <c r="I29" s="190"/>
      <c r="J29" s="192" t="str">
        <f>IF(D29="R",ECCapital[[#This Row],[OT Hours Worked (Full Time Only)]]*ECCapital[[#This Row],[Overtime Hourly Wage (Full Time Only)]],"P seulment")</f>
        <v>P seulment</v>
      </c>
      <c r="K29" s="195"/>
      <c r="L29" s="190"/>
      <c r="M29" s="370"/>
      <c r="N29" s="187">
        <f>IF(ECCapital[[#This Row],[(R), (TE) or (BF)]]="R",SUM(ECCapital[[#This Row],[Total Wage (Full Time Only)]],ECCapital[[#This Row],[Benefits]]),SUM(ECCapital[[#This Row],[Amount Claimed (Temp or Backfill)]]))</f>
        <v>0</v>
      </c>
    </row>
    <row r="30" spans="3:14" x14ac:dyDescent="0.2">
      <c r="C30" s="188"/>
      <c r="D30" s="210" t="s">
        <v>127</v>
      </c>
      <c r="E30" s="253"/>
      <c r="F30" s="253"/>
      <c r="G30" s="164"/>
      <c r="H30" s="189"/>
      <c r="I30" s="190"/>
      <c r="J30" s="192" t="str">
        <f>IF(D30="R",ECCapital[[#This Row],[OT Hours Worked (Full Time Only)]]*ECCapital[[#This Row],[Overtime Hourly Wage (Full Time Only)]],"P seulment")</f>
        <v>P seulment</v>
      </c>
      <c r="K30" s="195"/>
      <c r="L30" s="190"/>
      <c r="M30" s="370"/>
      <c r="N30" s="187">
        <f>IF(ECCapital[[#This Row],[(R), (TE) or (BF)]]="R",SUM(ECCapital[[#This Row],[Total Wage (Full Time Only)]],ECCapital[[#This Row],[Benefits]]),SUM(ECCapital[[#This Row],[Amount Claimed (Temp or Backfill)]]))</f>
        <v>0</v>
      </c>
    </row>
    <row r="31" spans="3:14" x14ac:dyDescent="0.2">
      <c r="C31" s="188"/>
      <c r="D31" s="210" t="s">
        <v>127</v>
      </c>
      <c r="E31" s="253"/>
      <c r="F31" s="253"/>
      <c r="G31" s="164"/>
      <c r="H31" s="189"/>
      <c r="I31" s="190"/>
      <c r="J31" s="192" t="str">
        <f>IF(D31="R",ECCapital[[#This Row],[OT Hours Worked (Full Time Only)]]*ECCapital[[#This Row],[Overtime Hourly Wage (Full Time Only)]],"P seulment")</f>
        <v>P seulment</v>
      </c>
      <c r="K31" s="195"/>
      <c r="L31" s="190"/>
      <c r="M31" s="370"/>
      <c r="N31" s="187">
        <f>IF(ECCapital[[#This Row],[(R), (TE) or (BF)]]="R",SUM(ECCapital[[#This Row],[Total Wage (Full Time Only)]],ECCapital[[#This Row],[Benefits]]),SUM(ECCapital[[#This Row],[Amount Claimed (Temp or Backfill)]]))</f>
        <v>0</v>
      </c>
    </row>
    <row r="32" spans="3:14" x14ac:dyDescent="0.2">
      <c r="C32" s="188"/>
      <c r="D32" s="210" t="s">
        <v>127</v>
      </c>
      <c r="E32" s="253"/>
      <c r="F32" s="253"/>
      <c r="G32" s="194"/>
      <c r="H32" s="189"/>
      <c r="I32" s="190"/>
      <c r="J32" s="192" t="str">
        <f>IF(D32="R",ECCapital[[#This Row],[OT Hours Worked (Full Time Only)]]*ECCapital[[#This Row],[Overtime Hourly Wage (Full Time Only)]],"P seulment")</f>
        <v>P seulment</v>
      </c>
      <c r="K32" s="195"/>
      <c r="L32" s="190"/>
      <c r="M32" s="370"/>
      <c r="N32" s="187">
        <f>IF(ECCapital[[#This Row],[(R), (TE) or (BF)]]="R",SUM(ECCapital[[#This Row],[Total Wage (Full Time Only)]],ECCapital[[#This Row],[Benefits]]),SUM(ECCapital[[#This Row],[Amount Claimed (Temp or Backfill)]]))</f>
        <v>0</v>
      </c>
    </row>
    <row r="33" spans="3:15" x14ac:dyDescent="0.2">
      <c r="C33" s="188"/>
      <c r="D33" s="210" t="s">
        <v>127</v>
      </c>
      <c r="E33" s="253"/>
      <c r="F33" s="253"/>
      <c r="G33" s="194"/>
      <c r="H33" s="189"/>
      <c r="I33" s="190"/>
      <c r="J33" s="192" t="str">
        <f>IF(D33="R",ECCapital[[#This Row],[OT Hours Worked (Full Time Only)]]*ECCapital[[#This Row],[Overtime Hourly Wage (Full Time Only)]],"P seulment")</f>
        <v>P seulment</v>
      </c>
      <c r="K33" s="195"/>
      <c r="L33" s="190"/>
      <c r="M33" s="370"/>
      <c r="N33" s="187">
        <f>IF(ECCapital[[#This Row],[(R), (TE) or (BF)]]="R",SUM(ECCapital[[#This Row],[Total Wage (Full Time Only)]],ECCapital[[#This Row],[Benefits]]),SUM(ECCapital[[#This Row],[Amount Claimed (Temp or Backfill)]]))</f>
        <v>0</v>
      </c>
    </row>
    <row r="34" spans="3:15" ht="15" thickBot="1" x14ac:dyDescent="0.25">
      <c r="C34" s="5"/>
      <c r="D34" s="5"/>
      <c r="E34" s="5"/>
      <c r="F34" s="5"/>
      <c r="G34" s="8" t="s">
        <v>4</v>
      </c>
      <c r="H34" s="184"/>
      <c r="I34" s="185"/>
      <c r="J34" s="186">
        <f>SUM(ECCapital[Total Wage (Full Time Only)])</f>
        <v>0</v>
      </c>
      <c r="K34" s="151">
        <f>SUM(ECCapital[[#All],[Amount Claimed (Temp or Backfill)]])</f>
        <v>0</v>
      </c>
      <c r="L34" s="152">
        <f>SUM(ECCapital[Benefits])</f>
        <v>0</v>
      </c>
      <c r="M34" s="24" t="s">
        <v>39</v>
      </c>
      <c r="N34" s="152">
        <f>SUM(ECCapital[Total Cost])</f>
        <v>0</v>
      </c>
      <c r="O34" s="5"/>
    </row>
    <row r="35" spans="3:15" x14ac:dyDescent="0.2">
      <c r="C35" s="5"/>
      <c r="D35" s="5"/>
      <c r="E35" s="5"/>
      <c r="F35" s="5"/>
      <c r="G35" s="5"/>
      <c r="H35" s="5"/>
      <c r="I35" s="5"/>
      <c r="J35" s="6"/>
      <c r="K35" s="6"/>
      <c r="L35" s="16"/>
      <c r="M35" s="5"/>
      <c r="N35" s="5"/>
      <c r="O35" s="5"/>
    </row>
    <row r="36" spans="3:15" x14ac:dyDescent="0.2">
      <c r="C36" s="5"/>
      <c r="D36" s="5"/>
      <c r="E36" s="5"/>
      <c r="F36" s="5"/>
      <c r="G36" s="5"/>
      <c r="H36" s="5"/>
      <c r="I36" s="5"/>
      <c r="J36" s="6"/>
      <c r="K36" s="6"/>
      <c r="L36" s="16"/>
      <c r="M36" s="5"/>
      <c r="N36" s="5"/>
      <c r="O36" s="5"/>
    </row>
    <row r="37" spans="3:15" x14ac:dyDescent="0.2">
      <c r="C37" s="5"/>
      <c r="D37" s="5"/>
      <c r="E37" s="5"/>
      <c r="F37" s="5"/>
      <c r="G37" s="5"/>
      <c r="H37" s="5"/>
      <c r="I37" s="5"/>
      <c r="J37" s="6"/>
      <c r="K37" s="6"/>
      <c r="L37" s="16"/>
      <c r="M37" s="5"/>
      <c r="N37" s="5"/>
      <c r="O37" s="5"/>
    </row>
    <row r="38" spans="3:15" x14ac:dyDescent="0.2">
      <c r="C38" s="5"/>
      <c r="D38" s="5"/>
      <c r="E38" s="5"/>
      <c r="F38" s="5"/>
      <c r="G38" s="5"/>
      <c r="H38" s="5"/>
      <c r="I38" s="5"/>
      <c r="J38" s="6"/>
      <c r="K38" s="6"/>
      <c r="L38" s="16"/>
      <c r="M38" s="5"/>
      <c r="N38" s="5"/>
      <c r="O38" s="5"/>
    </row>
    <row r="39" spans="3:15" x14ac:dyDescent="0.2">
      <c r="C39" s="5"/>
      <c r="D39" s="5"/>
      <c r="E39" s="5"/>
      <c r="F39" s="5"/>
      <c r="G39" s="5"/>
      <c r="H39" s="5"/>
      <c r="I39" s="5"/>
      <c r="J39" s="6"/>
      <c r="K39" s="6"/>
      <c r="L39" s="16"/>
      <c r="M39" s="5"/>
      <c r="N39" s="5"/>
      <c r="O39" s="5"/>
    </row>
    <row r="40" spans="3:15" x14ac:dyDescent="0.2">
      <c r="C40" s="5"/>
      <c r="D40" s="5"/>
      <c r="E40" s="5"/>
      <c r="F40" s="5"/>
      <c r="G40" s="5"/>
      <c r="H40" s="5"/>
      <c r="I40" s="5"/>
      <c r="J40" s="6"/>
      <c r="K40" s="6"/>
      <c r="L40" s="16"/>
      <c r="M40" s="5"/>
      <c r="N40" s="5"/>
    </row>
    <row r="41" spans="3:15" x14ac:dyDescent="0.2">
      <c r="C41" s="5"/>
      <c r="D41" s="5"/>
      <c r="E41" s="5"/>
      <c r="F41" s="5"/>
      <c r="G41" s="5"/>
      <c r="H41" s="5"/>
      <c r="I41" s="5"/>
      <c r="J41" s="6"/>
      <c r="K41" s="6"/>
      <c r="L41" s="16"/>
      <c r="M41" s="5"/>
      <c r="N41" s="5"/>
    </row>
    <row r="42" spans="3:15" x14ac:dyDescent="0.2">
      <c r="C42" s="5"/>
      <c r="D42" s="5"/>
      <c r="E42" s="5"/>
      <c r="F42" s="5"/>
      <c r="G42" s="5"/>
      <c r="H42" s="5"/>
      <c r="I42" s="5"/>
      <c r="J42" s="6"/>
      <c r="K42" s="6"/>
      <c r="L42" s="16"/>
      <c r="M42" s="5"/>
      <c r="N42" s="5"/>
    </row>
    <row r="43" spans="3:15" x14ac:dyDescent="0.2">
      <c r="C43" s="5"/>
      <c r="D43" s="5"/>
      <c r="E43" s="5"/>
      <c r="F43" s="5"/>
      <c r="G43" s="5"/>
      <c r="H43" s="5"/>
      <c r="I43" s="5"/>
      <c r="J43" s="6"/>
      <c r="K43" s="6"/>
      <c r="L43" s="16"/>
      <c r="M43" s="5"/>
      <c r="N43" s="5"/>
    </row>
    <row r="44" spans="3:15" x14ac:dyDescent="0.2">
      <c r="M44" s="5"/>
      <c r="N44" s="5"/>
    </row>
    <row r="45" spans="3:15" x14ac:dyDescent="0.2">
      <c r="M45" s="5"/>
      <c r="N45" s="5"/>
    </row>
    <row r="46" spans="3:15" x14ac:dyDescent="0.2">
      <c r="M46" s="5"/>
      <c r="N46" s="5"/>
    </row>
    <row r="47" spans="3:15" x14ac:dyDescent="0.2">
      <c r="M47" s="5"/>
      <c r="N47" s="5"/>
    </row>
    <row r="48" spans="3:15" x14ac:dyDescent="0.2">
      <c r="M48" s="5"/>
      <c r="N48" s="5"/>
    </row>
    <row r="49" spans="13:13" x14ac:dyDescent="0.2">
      <c r="M49" s="5"/>
    </row>
    <row r="50" spans="13:13" x14ac:dyDescent="0.2">
      <c r="M50" s="5"/>
    </row>
    <row r="51" spans="13:13" x14ac:dyDescent="0.2">
      <c r="M51" s="5"/>
    </row>
    <row r="52" spans="13:13" x14ac:dyDescent="0.2">
      <c r="M52" s="5"/>
    </row>
  </sheetData>
  <sheetProtection selectLockedCells="1"/>
  <mergeCells count="4">
    <mergeCell ref="D3:N3"/>
    <mergeCell ref="B11:B12"/>
    <mergeCell ref="H9:J9"/>
    <mergeCell ref="D2:F2"/>
  </mergeCells>
  <conditionalFormatting sqref="M15:M33">
    <cfRule type="expression" dxfId="129" priority="3" stopIfTrue="1">
      <formula>$N15=0</formula>
    </cfRule>
    <cfRule type="expression" dxfId="128" priority="4">
      <formula>$M15=0</formula>
    </cfRule>
  </conditionalFormatting>
  <dataValidations count="4">
    <dataValidation type="date" allowBlank="1" showErrorMessage="1" errorTitle="Error" error="Please enter a valid date in the format YYYY/MM/DD" promptTitle="Date Format" prompt="Enter dates as MM/DD/YYYY" sqref="E15:F33">
      <formula1>41640</formula1>
      <formula2>73415</formula2>
    </dataValidation>
    <dataValidation type="decimal" allowBlank="1" showInputMessage="1" showErrorMessage="1" errorTitle="Error" error="Please enter a valid number" sqref="H15:H33">
      <formula1>0</formula1>
      <formula2>500000000</formula2>
    </dataValidation>
    <dataValidation type="decimal" allowBlank="1" showInputMessage="1" showErrorMessage="1" errorTitle="Error" error="Please enter a dollar value" sqref="K15:L33 I15:I33">
      <formula1>0</formula1>
      <formula2>500000000</formula2>
    </dataValidation>
    <dataValidation type="list" allowBlank="1" showInputMessage="1" showErrorMessage="1" sqref="D15:D33">
      <formula1>"Sélectionner, P,T,R"</formula1>
    </dataValidation>
  </dataValidations>
  <pageMargins left="0.25" right="0.25" top="0.75" bottom="0.75" header="0.3" footer="0.3"/>
  <pageSetup paperSize="5" scale="74" fitToHeight="0" orientation="landscape" horizontalDpi="300" verticalDpi="300" r:id="rId1"/>
  <headerFooter>
    <oddHeader>&amp;L&amp;G&amp;C&amp;"Arial,Bold"&amp;18&amp;K000000Employee  Capital Costs&amp;R&amp;"Arial,Bold"&amp;K000000Employee  Capital Costs</oddHeader>
    <oddFooter>&amp;RPage &amp;P of &amp;N</oddFooter>
  </headerFooter>
  <drawing r:id="rId2"/>
  <legacyDrawingHF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pageSetUpPr fitToPage="1"/>
  </sheetPr>
  <dimension ref="B1:N35"/>
  <sheetViews>
    <sheetView showGridLines="0" zoomScale="90" zoomScaleNormal="90" zoomScalePageLayoutView="80" workbookViewId="0">
      <pane ySplit="9" topLeftCell="A11" activePane="bottomLeft" state="frozen"/>
      <selection pane="bottomLeft" activeCell="K22" sqref="K22"/>
    </sheetView>
  </sheetViews>
  <sheetFormatPr defaultRowHeight="12.75" x14ac:dyDescent="0.2"/>
  <cols>
    <col min="1" max="1" width="1" style="38" customWidth="1"/>
    <col min="2" max="2" width="3.375" style="38" customWidth="1"/>
    <col min="3" max="3" width="12" style="63" customWidth="1"/>
    <col min="4" max="4" width="12.25" style="38" customWidth="1"/>
    <col min="5" max="5" width="17.625" style="38" customWidth="1"/>
    <col min="6" max="6" width="16.625" style="38" customWidth="1"/>
    <col min="7" max="7" width="13" style="38" customWidth="1"/>
    <col min="8" max="8" width="9.875" style="38" customWidth="1"/>
    <col min="9" max="9" width="13.875" style="38" customWidth="1"/>
    <col min="10" max="10" width="18.625" style="38" customWidth="1"/>
    <col min="11" max="11" width="27.75" style="38" customWidth="1"/>
    <col min="12" max="12" width="12.75" style="38" customWidth="1"/>
    <col min="13" max="13" width="34.875" style="38" customWidth="1"/>
    <col min="14" max="14" width="25.125" style="44" customWidth="1"/>
    <col min="15" max="15" width="14.375" style="38" customWidth="1"/>
    <col min="16" max="255" width="8" style="38"/>
    <col min="256" max="256" width="1" style="38" customWidth="1"/>
    <col min="257" max="257" width="16.25" style="38" customWidth="1"/>
    <col min="258" max="258" width="18.625" style="38" customWidth="1"/>
    <col min="259" max="259" width="6" style="38" customWidth="1"/>
    <col min="260" max="260" width="15.875" style="38" customWidth="1"/>
    <col min="261" max="261" width="10.375" style="38" customWidth="1"/>
    <col min="262" max="262" width="32.125" style="38" customWidth="1"/>
    <col min="263" max="263" width="13.625" style="38" customWidth="1"/>
    <col min="264" max="264" width="7.125" style="38" customWidth="1"/>
    <col min="265" max="265" width="4.375" style="38" customWidth="1"/>
    <col min="266" max="268" width="9.375" style="38" customWidth="1"/>
    <col min="269" max="511" width="8" style="38"/>
    <col min="512" max="512" width="1" style="38" customWidth="1"/>
    <col min="513" max="513" width="16.25" style="38" customWidth="1"/>
    <col min="514" max="514" width="18.625" style="38" customWidth="1"/>
    <col min="515" max="515" width="6" style="38" customWidth="1"/>
    <col min="516" max="516" width="15.875" style="38" customWidth="1"/>
    <col min="517" max="517" width="10.375" style="38" customWidth="1"/>
    <col min="518" max="518" width="32.125" style="38" customWidth="1"/>
    <col min="519" max="519" width="13.625" style="38" customWidth="1"/>
    <col min="520" max="520" width="7.125" style="38" customWidth="1"/>
    <col min="521" max="521" width="4.375" style="38" customWidth="1"/>
    <col min="522" max="524" width="9.375" style="38" customWidth="1"/>
    <col min="525" max="767" width="8" style="38"/>
    <col min="768" max="768" width="1" style="38" customWidth="1"/>
    <col min="769" max="769" width="16.25" style="38" customWidth="1"/>
    <col min="770" max="770" width="18.625" style="38" customWidth="1"/>
    <col min="771" max="771" width="6" style="38" customWidth="1"/>
    <col min="772" max="772" width="15.875" style="38" customWidth="1"/>
    <col min="773" max="773" width="10.375" style="38" customWidth="1"/>
    <col min="774" max="774" width="32.125" style="38" customWidth="1"/>
    <col min="775" max="775" width="13.625" style="38" customWidth="1"/>
    <col min="776" max="776" width="7.125" style="38" customWidth="1"/>
    <col min="777" max="777" width="4.375" style="38" customWidth="1"/>
    <col min="778" max="780" width="9.375" style="38" customWidth="1"/>
    <col min="781" max="1023" width="9" style="38"/>
    <col min="1024" max="1024" width="1" style="38" customWidth="1"/>
    <col min="1025" max="1025" width="16.25" style="38" customWidth="1"/>
    <col min="1026" max="1026" width="18.625" style="38" customWidth="1"/>
    <col min="1027" max="1027" width="6" style="38" customWidth="1"/>
    <col min="1028" max="1028" width="15.875" style="38" customWidth="1"/>
    <col min="1029" max="1029" width="10.375" style="38" customWidth="1"/>
    <col min="1030" max="1030" width="32.125" style="38" customWidth="1"/>
    <col min="1031" max="1031" width="13.625" style="38" customWidth="1"/>
    <col min="1032" max="1032" width="7.125" style="38" customWidth="1"/>
    <col min="1033" max="1033" width="4.375" style="38" customWidth="1"/>
    <col min="1034" max="1036" width="9.375" style="38" customWidth="1"/>
    <col min="1037" max="1279" width="8" style="38"/>
    <col min="1280" max="1280" width="1" style="38" customWidth="1"/>
    <col min="1281" max="1281" width="16.25" style="38" customWidth="1"/>
    <col min="1282" max="1282" width="18.625" style="38" customWidth="1"/>
    <col min="1283" max="1283" width="6" style="38" customWidth="1"/>
    <col min="1284" max="1284" width="15.875" style="38" customWidth="1"/>
    <col min="1285" max="1285" width="10.375" style="38" customWidth="1"/>
    <col min="1286" max="1286" width="32.125" style="38" customWidth="1"/>
    <col min="1287" max="1287" width="13.625" style="38" customWidth="1"/>
    <col min="1288" max="1288" width="7.125" style="38" customWidth="1"/>
    <col min="1289" max="1289" width="4.375" style="38" customWidth="1"/>
    <col min="1290" max="1292" width="9.375" style="38" customWidth="1"/>
    <col min="1293" max="1535" width="8" style="38"/>
    <col min="1536" max="1536" width="1" style="38" customWidth="1"/>
    <col min="1537" max="1537" width="16.25" style="38" customWidth="1"/>
    <col min="1538" max="1538" width="18.625" style="38" customWidth="1"/>
    <col min="1539" max="1539" width="6" style="38" customWidth="1"/>
    <col min="1540" max="1540" width="15.875" style="38" customWidth="1"/>
    <col min="1541" max="1541" width="10.375" style="38" customWidth="1"/>
    <col min="1542" max="1542" width="32.125" style="38" customWidth="1"/>
    <col min="1543" max="1543" width="13.625" style="38" customWidth="1"/>
    <col min="1544" max="1544" width="7.125" style="38" customWidth="1"/>
    <col min="1545" max="1545" width="4.375" style="38" customWidth="1"/>
    <col min="1546" max="1548" width="9.375" style="38" customWidth="1"/>
    <col min="1549" max="1791" width="8" style="38"/>
    <col min="1792" max="1792" width="1" style="38" customWidth="1"/>
    <col min="1793" max="1793" width="16.25" style="38" customWidth="1"/>
    <col min="1794" max="1794" width="18.625" style="38" customWidth="1"/>
    <col min="1795" max="1795" width="6" style="38" customWidth="1"/>
    <col min="1796" max="1796" width="15.875" style="38" customWidth="1"/>
    <col min="1797" max="1797" width="10.375" style="38" customWidth="1"/>
    <col min="1798" max="1798" width="32.125" style="38" customWidth="1"/>
    <col min="1799" max="1799" width="13.625" style="38" customWidth="1"/>
    <col min="1800" max="1800" width="7.125" style="38" customWidth="1"/>
    <col min="1801" max="1801" width="4.375" style="38" customWidth="1"/>
    <col min="1802" max="1804" width="9.375" style="38" customWidth="1"/>
    <col min="1805" max="2047" width="9" style="38"/>
    <col min="2048" max="2048" width="1" style="38" customWidth="1"/>
    <col min="2049" max="2049" width="16.25" style="38" customWidth="1"/>
    <col min="2050" max="2050" width="18.625" style="38" customWidth="1"/>
    <col min="2051" max="2051" width="6" style="38" customWidth="1"/>
    <col min="2052" max="2052" width="15.875" style="38" customWidth="1"/>
    <col min="2053" max="2053" width="10.375" style="38" customWidth="1"/>
    <col min="2054" max="2054" width="32.125" style="38" customWidth="1"/>
    <col min="2055" max="2055" width="13.625" style="38" customWidth="1"/>
    <col min="2056" max="2056" width="7.125" style="38" customWidth="1"/>
    <col min="2057" max="2057" width="4.375" style="38" customWidth="1"/>
    <col min="2058" max="2060" width="9.375" style="38" customWidth="1"/>
    <col min="2061" max="2303" width="8" style="38"/>
    <col min="2304" max="2304" width="1" style="38" customWidth="1"/>
    <col min="2305" max="2305" width="16.25" style="38" customWidth="1"/>
    <col min="2306" max="2306" width="18.625" style="38" customWidth="1"/>
    <col min="2307" max="2307" width="6" style="38" customWidth="1"/>
    <col min="2308" max="2308" width="15.875" style="38" customWidth="1"/>
    <col min="2309" max="2309" width="10.375" style="38" customWidth="1"/>
    <col min="2310" max="2310" width="32.125" style="38" customWidth="1"/>
    <col min="2311" max="2311" width="13.625" style="38" customWidth="1"/>
    <col min="2312" max="2312" width="7.125" style="38" customWidth="1"/>
    <col min="2313" max="2313" width="4.375" style="38" customWidth="1"/>
    <col min="2314" max="2316" width="9.375" style="38" customWidth="1"/>
    <col min="2317" max="2559" width="8" style="38"/>
    <col min="2560" max="2560" width="1" style="38" customWidth="1"/>
    <col min="2561" max="2561" width="16.25" style="38" customWidth="1"/>
    <col min="2562" max="2562" width="18.625" style="38" customWidth="1"/>
    <col min="2563" max="2563" width="6" style="38" customWidth="1"/>
    <col min="2564" max="2564" width="15.875" style="38" customWidth="1"/>
    <col min="2565" max="2565" width="10.375" style="38" customWidth="1"/>
    <col min="2566" max="2566" width="32.125" style="38" customWidth="1"/>
    <col min="2567" max="2567" width="13.625" style="38" customWidth="1"/>
    <col min="2568" max="2568" width="7.125" style="38" customWidth="1"/>
    <col min="2569" max="2569" width="4.375" style="38" customWidth="1"/>
    <col min="2570" max="2572" width="9.375" style="38" customWidth="1"/>
    <col min="2573" max="2815" width="8" style="38"/>
    <col min="2816" max="2816" width="1" style="38" customWidth="1"/>
    <col min="2817" max="2817" width="16.25" style="38" customWidth="1"/>
    <col min="2818" max="2818" width="18.625" style="38" customWidth="1"/>
    <col min="2819" max="2819" width="6" style="38" customWidth="1"/>
    <col min="2820" max="2820" width="15.875" style="38" customWidth="1"/>
    <col min="2821" max="2821" width="10.375" style="38" customWidth="1"/>
    <col min="2822" max="2822" width="32.125" style="38" customWidth="1"/>
    <col min="2823" max="2823" width="13.625" style="38" customWidth="1"/>
    <col min="2824" max="2824" width="7.125" style="38" customWidth="1"/>
    <col min="2825" max="2825" width="4.375" style="38" customWidth="1"/>
    <col min="2826" max="2828" width="9.375" style="38" customWidth="1"/>
    <col min="2829" max="3071" width="9" style="38"/>
    <col min="3072" max="3072" width="1" style="38" customWidth="1"/>
    <col min="3073" max="3073" width="16.25" style="38" customWidth="1"/>
    <col min="3074" max="3074" width="18.625" style="38" customWidth="1"/>
    <col min="3075" max="3075" width="6" style="38" customWidth="1"/>
    <col min="3076" max="3076" width="15.875" style="38" customWidth="1"/>
    <col min="3077" max="3077" width="10.375" style="38" customWidth="1"/>
    <col min="3078" max="3078" width="32.125" style="38" customWidth="1"/>
    <col min="3079" max="3079" width="13.625" style="38" customWidth="1"/>
    <col min="3080" max="3080" width="7.125" style="38" customWidth="1"/>
    <col min="3081" max="3081" width="4.375" style="38" customWidth="1"/>
    <col min="3082" max="3084" width="9.375" style="38" customWidth="1"/>
    <col min="3085" max="3327" width="8" style="38"/>
    <col min="3328" max="3328" width="1" style="38" customWidth="1"/>
    <col min="3329" max="3329" width="16.25" style="38" customWidth="1"/>
    <col min="3330" max="3330" width="18.625" style="38" customWidth="1"/>
    <col min="3331" max="3331" width="6" style="38" customWidth="1"/>
    <col min="3332" max="3332" width="15.875" style="38" customWidth="1"/>
    <col min="3333" max="3333" width="10.375" style="38" customWidth="1"/>
    <col min="3334" max="3334" width="32.125" style="38" customWidth="1"/>
    <col min="3335" max="3335" width="13.625" style="38" customWidth="1"/>
    <col min="3336" max="3336" width="7.125" style="38" customWidth="1"/>
    <col min="3337" max="3337" width="4.375" style="38" customWidth="1"/>
    <col min="3338" max="3340" width="9.375" style="38" customWidth="1"/>
    <col min="3341" max="3583" width="8" style="38"/>
    <col min="3584" max="3584" width="1" style="38" customWidth="1"/>
    <col min="3585" max="3585" width="16.25" style="38" customWidth="1"/>
    <col min="3586" max="3586" width="18.625" style="38" customWidth="1"/>
    <col min="3587" max="3587" width="6" style="38" customWidth="1"/>
    <col min="3588" max="3588" width="15.875" style="38" customWidth="1"/>
    <col min="3589" max="3589" width="10.375" style="38" customWidth="1"/>
    <col min="3590" max="3590" width="32.125" style="38" customWidth="1"/>
    <col min="3591" max="3591" width="13.625" style="38" customWidth="1"/>
    <col min="3592" max="3592" width="7.125" style="38" customWidth="1"/>
    <col min="3593" max="3593" width="4.375" style="38" customWidth="1"/>
    <col min="3594" max="3596" width="9.375" style="38" customWidth="1"/>
    <col min="3597" max="3839" width="8" style="38"/>
    <col min="3840" max="3840" width="1" style="38" customWidth="1"/>
    <col min="3841" max="3841" width="16.25" style="38" customWidth="1"/>
    <col min="3842" max="3842" width="18.625" style="38" customWidth="1"/>
    <col min="3843" max="3843" width="6" style="38" customWidth="1"/>
    <col min="3844" max="3844" width="15.875" style="38" customWidth="1"/>
    <col min="3845" max="3845" width="10.375" style="38" customWidth="1"/>
    <col min="3846" max="3846" width="32.125" style="38" customWidth="1"/>
    <col min="3847" max="3847" width="13.625" style="38" customWidth="1"/>
    <col min="3848" max="3848" width="7.125" style="38" customWidth="1"/>
    <col min="3849" max="3849" width="4.375" style="38" customWidth="1"/>
    <col min="3850" max="3852" width="9.375" style="38" customWidth="1"/>
    <col min="3853" max="4095" width="9" style="38"/>
    <col min="4096" max="4096" width="1" style="38" customWidth="1"/>
    <col min="4097" max="4097" width="16.25" style="38" customWidth="1"/>
    <col min="4098" max="4098" width="18.625" style="38" customWidth="1"/>
    <col min="4099" max="4099" width="6" style="38" customWidth="1"/>
    <col min="4100" max="4100" width="15.875" style="38" customWidth="1"/>
    <col min="4101" max="4101" width="10.375" style="38" customWidth="1"/>
    <col min="4102" max="4102" width="32.125" style="38" customWidth="1"/>
    <col min="4103" max="4103" width="13.625" style="38" customWidth="1"/>
    <col min="4104" max="4104" width="7.125" style="38" customWidth="1"/>
    <col min="4105" max="4105" width="4.375" style="38" customWidth="1"/>
    <col min="4106" max="4108" width="9.375" style="38" customWidth="1"/>
    <col min="4109" max="4351" width="8" style="38"/>
    <col min="4352" max="4352" width="1" style="38" customWidth="1"/>
    <col min="4353" max="4353" width="16.25" style="38" customWidth="1"/>
    <col min="4354" max="4354" width="18.625" style="38" customWidth="1"/>
    <col min="4355" max="4355" width="6" style="38" customWidth="1"/>
    <col min="4356" max="4356" width="15.875" style="38" customWidth="1"/>
    <col min="4357" max="4357" width="10.375" style="38" customWidth="1"/>
    <col min="4358" max="4358" width="32.125" style="38" customWidth="1"/>
    <col min="4359" max="4359" width="13.625" style="38" customWidth="1"/>
    <col min="4360" max="4360" width="7.125" style="38" customWidth="1"/>
    <col min="4361" max="4361" width="4.375" style="38" customWidth="1"/>
    <col min="4362" max="4364" width="9.375" style="38" customWidth="1"/>
    <col min="4365" max="4607" width="8" style="38"/>
    <col min="4608" max="4608" width="1" style="38" customWidth="1"/>
    <col min="4609" max="4609" width="16.25" style="38" customWidth="1"/>
    <col min="4610" max="4610" width="18.625" style="38" customWidth="1"/>
    <col min="4611" max="4611" width="6" style="38" customWidth="1"/>
    <col min="4612" max="4612" width="15.875" style="38" customWidth="1"/>
    <col min="4613" max="4613" width="10.375" style="38" customWidth="1"/>
    <col min="4614" max="4614" width="32.125" style="38" customWidth="1"/>
    <col min="4615" max="4615" width="13.625" style="38" customWidth="1"/>
    <col min="4616" max="4616" width="7.125" style="38" customWidth="1"/>
    <col min="4617" max="4617" width="4.375" style="38" customWidth="1"/>
    <col min="4618" max="4620" width="9.375" style="38" customWidth="1"/>
    <col min="4621" max="4863" width="8" style="38"/>
    <col min="4864" max="4864" width="1" style="38" customWidth="1"/>
    <col min="4865" max="4865" width="16.25" style="38" customWidth="1"/>
    <col min="4866" max="4866" width="18.625" style="38" customWidth="1"/>
    <col min="4867" max="4867" width="6" style="38" customWidth="1"/>
    <col min="4868" max="4868" width="15.875" style="38" customWidth="1"/>
    <col min="4869" max="4869" width="10.375" style="38" customWidth="1"/>
    <col min="4870" max="4870" width="32.125" style="38" customWidth="1"/>
    <col min="4871" max="4871" width="13.625" style="38" customWidth="1"/>
    <col min="4872" max="4872" width="7.125" style="38" customWidth="1"/>
    <col min="4873" max="4873" width="4.375" style="38" customWidth="1"/>
    <col min="4874" max="4876" width="9.375" style="38" customWidth="1"/>
    <col min="4877" max="5119" width="9" style="38"/>
    <col min="5120" max="5120" width="1" style="38" customWidth="1"/>
    <col min="5121" max="5121" width="16.25" style="38" customWidth="1"/>
    <col min="5122" max="5122" width="18.625" style="38" customWidth="1"/>
    <col min="5123" max="5123" width="6" style="38" customWidth="1"/>
    <col min="5124" max="5124" width="15.875" style="38" customWidth="1"/>
    <col min="5125" max="5125" width="10.375" style="38" customWidth="1"/>
    <col min="5126" max="5126" width="32.125" style="38" customWidth="1"/>
    <col min="5127" max="5127" width="13.625" style="38" customWidth="1"/>
    <col min="5128" max="5128" width="7.125" style="38" customWidth="1"/>
    <col min="5129" max="5129" width="4.375" style="38" customWidth="1"/>
    <col min="5130" max="5132" width="9.375" style="38" customWidth="1"/>
    <col min="5133" max="5375" width="8" style="38"/>
    <col min="5376" max="5376" width="1" style="38" customWidth="1"/>
    <col min="5377" max="5377" width="16.25" style="38" customWidth="1"/>
    <col min="5378" max="5378" width="18.625" style="38" customWidth="1"/>
    <col min="5379" max="5379" width="6" style="38" customWidth="1"/>
    <col min="5380" max="5380" width="15.875" style="38" customWidth="1"/>
    <col min="5381" max="5381" width="10.375" style="38" customWidth="1"/>
    <col min="5382" max="5382" width="32.125" style="38" customWidth="1"/>
    <col min="5383" max="5383" width="13.625" style="38" customWidth="1"/>
    <col min="5384" max="5384" width="7.125" style="38" customWidth="1"/>
    <col min="5385" max="5385" width="4.375" style="38" customWidth="1"/>
    <col min="5386" max="5388" width="9.375" style="38" customWidth="1"/>
    <col min="5389" max="5631" width="8" style="38"/>
    <col min="5632" max="5632" width="1" style="38" customWidth="1"/>
    <col min="5633" max="5633" width="16.25" style="38" customWidth="1"/>
    <col min="5634" max="5634" width="18.625" style="38" customWidth="1"/>
    <col min="5635" max="5635" width="6" style="38" customWidth="1"/>
    <col min="5636" max="5636" width="15.875" style="38" customWidth="1"/>
    <col min="5637" max="5637" width="10.375" style="38" customWidth="1"/>
    <col min="5638" max="5638" width="32.125" style="38" customWidth="1"/>
    <col min="5639" max="5639" width="13.625" style="38" customWidth="1"/>
    <col min="5640" max="5640" width="7.125" style="38" customWidth="1"/>
    <col min="5641" max="5641" width="4.375" style="38" customWidth="1"/>
    <col min="5642" max="5644" width="9.375" style="38" customWidth="1"/>
    <col min="5645" max="5887" width="8" style="38"/>
    <col min="5888" max="5888" width="1" style="38" customWidth="1"/>
    <col min="5889" max="5889" width="16.25" style="38" customWidth="1"/>
    <col min="5890" max="5890" width="18.625" style="38" customWidth="1"/>
    <col min="5891" max="5891" width="6" style="38" customWidth="1"/>
    <col min="5892" max="5892" width="15.875" style="38" customWidth="1"/>
    <col min="5893" max="5893" width="10.375" style="38" customWidth="1"/>
    <col min="5894" max="5894" width="32.125" style="38" customWidth="1"/>
    <col min="5895" max="5895" width="13.625" style="38" customWidth="1"/>
    <col min="5896" max="5896" width="7.125" style="38" customWidth="1"/>
    <col min="5897" max="5897" width="4.375" style="38" customWidth="1"/>
    <col min="5898" max="5900" width="9.375" style="38" customWidth="1"/>
    <col min="5901" max="6143" width="9" style="38"/>
    <col min="6144" max="6144" width="1" style="38" customWidth="1"/>
    <col min="6145" max="6145" width="16.25" style="38" customWidth="1"/>
    <col min="6146" max="6146" width="18.625" style="38" customWidth="1"/>
    <col min="6147" max="6147" width="6" style="38" customWidth="1"/>
    <col min="6148" max="6148" width="15.875" style="38" customWidth="1"/>
    <col min="6149" max="6149" width="10.375" style="38" customWidth="1"/>
    <col min="6150" max="6150" width="32.125" style="38" customWidth="1"/>
    <col min="6151" max="6151" width="13.625" style="38" customWidth="1"/>
    <col min="6152" max="6152" width="7.125" style="38" customWidth="1"/>
    <col min="6153" max="6153" width="4.375" style="38" customWidth="1"/>
    <col min="6154" max="6156" width="9.375" style="38" customWidth="1"/>
    <col min="6157" max="6399" width="8" style="38"/>
    <col min="6400" max="6400" width="1" style="38" customWidth="1"/>
    <col min="6401" max="6401" width="16.25" style="38" customWidth="1"/>
    <col min="6402" max="6402" width="18.625" style="38" customWidth="1"/>
    <col min="6403" max="6403" width="6" style="38" customWidth="1"/>
    <col min="6404" max="6404" width="15.875" style="38" customWidth="1"/>
    <col min="6405" max="6405" width="10.375" style="38" customWidth="1"/>
    <col min="6406" max="6406" width="32.125" style="38" customWidth="1"/>
    <col min="6407" max="6407" width="13.625" style="38" customWidth="1"/>
    <col min="6408" max="6408" width="7.125" style="38" customWidth="1"/>
    <col min="6409" max="6409" width="4.375" style="38" customWidth="1"/>
    <col min="6410" max="6412" width="9.375" style="38" customWidth="1"/>
    <col min="6413" max="6655" width="8" style="38"/>
    <col min="6656" max="6656" width="1" style="38" customWidth="1"/>
    <col min="6657" max="6657" width="16.25" style="38" customWidth="1"/>
    <col min="6658" max="6658" width="18.625" style="38" customWidth="1"/>
    <col min="6659" max="6659" width="6" style="38" customWidth="1"/>
    <col min="6660" max="6660" width="15.875" style="38" customWidth="1"/>
    <col min="6661" max="6661" width="10.375" style="38" customWidth="1"/>
    <col min="6662" max="6662" width="32.125" style="38" customWidth="1"/>
    <col min="6663" max="6663" width="13.625" style="38" customWidth="1"/>
    <col min="6664" max="6664" width="7.125" style="38" customWidth="1"/>
    <col min="6665" max="6665" width="4.375" style="38" customWidth="1"/>
    <col min="6666" max="6668" width="9.375" style="38" customWidth="1"/>
    <col min="6669" max="6911" width="8" style="38"/>
    <col min="6912" max="6912" width="1" style="38" customWidth="1"/>
    <col min="6913" max="6913" width="16.25" style="38" customWidth="1"/>
    <col min="6914" max="6914" width="18.625" style="38" customWidth="1"/>
    <col min="6915" max="6915" width="6" style="38" customWidth="1"/>
    <col min="6916" max="6916" width="15.875" style="38" customWidth="1"/>
    <col min="6917" max="6917" width="10.375" style="38" customWidth="1"/>
    <col min="6918" max="6918" width="32.125" style="38" customWidth="1"/>
    <col min="6919" max="6919" width="13.625" style="38" customWidth="1"/>
    <col min="6920" max="6920" width="7.125" style="38" customWidth="1"/>
    <col min="6921" max="6921" width="4.375" style="38" customWidth="1"/>
    <col min="6922" max="6924" width="9.375" style="38" customWidth="1"/>
    <col min="6925" max="7167" width="9" style="38"/>
    <col min="7168" max="7168" width="1" style="38" customWidth="1"/>
    <col min="7169" max="7169" width="16.25" style="38" customWidth="1"/>
    <col min="7170" max="7170" width="18.625" style="38" customWidth="1"/>
    <col min="7171" max="7171" width="6" style="38" customWidth="1"/>
    <col min="7172" max="7172" width="15.875" style="38" customWidth="1"/>
    <col min="7173" max="7173" width="10.375" style="38" customWidth="1"/>
    <col min="7174" max="7174" width="32.125" style="38" customWidth="1"/>
    <col min="7175" max="7175" width="13.625" style="38" customWidth="1"/>
    <col min="7176" max="7176" width="7.125" style="38" customWidth="1"/>
    <col min="7177" max="7177" width="4.375" style="38" customWidth="1"/>
    <col min="7178" max="7180" width="9.375" style="38" customWidth="1"/>
    <col min="7181" max="7423" width="8" style="38"/>
    <col min="7424" max="7424" width="1" style="38" customWidth="1"/>
    <col min="7425" max="7425" width="16.25" style="38" customWidth="1"/>
    <col min="7426" max="7426" width="18.625" style="38" customWidth="1"/>
    <col min="7427" max="7427" width="6" style="38" customWidth="1"/>
    <col min="7428" max="7428" width="15.875" style="38" customWidth="1"/>
    <col min="7429" max="7429" width="10.375" style="38" customWidth="1"/>
    <col min="7430" max="7430" width="32.125" style="38" customWidth="1"/>
    <col min="7431" max="7431" width="13.625" style="38" customWidth="1"/>
    <col min="7432" max="7432" width="7.125" style="38" customWidth="1"/>
    <col min="7433" max="7433" width="4.375" style="38" customWidth="1"/>
    <col min="7434" max="7436" width="9.375" style="38" customWidth="1"/>
    <col min="7437" max="7679" width="8" style="38"/>
    <col min="7680" max="7680" width="1" style="38" customWidth="1"/>
    <col min="7681" max="7681" width="16.25" style="38" customWidth="1"/>
    <col min="7682" max="7682" width="18.625" style="38" customWidth="1"/>
    <col min="7683" max="7683" width="6" style="38" customWidth="1"/>
    <col min="7684" max="7684" width="15.875" style="38" customWidth="1"/>
    <col min="7685" max="7685" width="10.375" style="38" customWidth="1"/>
    <col min="7686" max="7686" width="32.125" style="38" customWidth="1"/>
    <col min="7687" max="7687" width="13.625" style="38" customWidth="1"/>
    <col min="7688" max="7688" width="7.125" style="38" customWidth="1"/>
    <col min="7689" max="7689" width="4.375" style="38" customWidth="1"/>
    <col min="7690" max="7692" width="9.375" style="38" customWidth="1"/>
    <col min="7693" max="7935" width="8" style="38"/>
    <col min="7936" max="7936" width="1" style="38" customWidth="1"/>
    <col min="7937" max="7937" width="16.25" style="38" customWidth="1"/>
    <col min="7938" max="7938" width="18.625" style="38" customWidth="1"/>
    <col min="7939" max="7939" width="6" style="38" customWidth="1"/>
    <col min="7940" max="7940" width="15.875" style="38" customWidth="1"/>
    <col min="7941" max="7941" width="10.375" style="38" customWidth="1"/>
    <col min="7942" max="7942" width="32.125" style="38" customWidth="1"/>
    <col min="7943" max="7943" width="13.625" style="38" customWidth="1"/>
    <col min="7944" max="7944" width="7.125" style="38" customWidth="1"/>
    <col min="7945" max="7945" width="4.375" style="38" customWidth="1"/>
    <col min="7946" max="7948" width="9.375" style="38" customWidth="1"/>
    <col min="7949" max="8191" width="9" style="38"/>
    <col min="8192" max="8192" width="1" style="38" customWidth="1"/>
    <col min="8193" max="8193" width="16.25" style="38" customWidth="1"/>
    <col min="8194" max="8194" width="18.625" style="38" customWidth="1"/>
    <col min="8195" max="8195" width="6" style="38" customWidth="1"/>
    <col min="8196" max="8196" width="15.875" style="38" customWidth="1"/>
    <col min="8197" max="8197" width="10.375" style="38" customWidth="1"/>
    <col min="8198" max="8198" width="32.125" style="38" customWidth="1"/>
    <col min="8199" max="8199" width="13.625" style="38" customWidth="1"/>
    <col min="8200" max="8200" width="7.125" style="38" customWidth="1"/>
    <col min="8201" max="8201" width="4.375" style="38" customWidth="1"/>
    <col min="8202" max="8204" width="9.375" style="38" customWidth="1"/>
    <col min="8205" max="8447" width="8" style="38"/>
    <col min="8448" max="8448" width="1" style="38" customWidth="1"/>
    <col min="8449" max="8449" width="16.25" style="38" customWidth="1"/>
    <col min="8450" max="8450" width="18.625" style="38" customWidth="1"/>
    <col min="8451" max="8451" width="6" style="38" customWidth="1"/>
    <col min="8452" max="8452" width="15.875" style="38" customWidth="1"/>
    <col min="8453" max="8453" width="10.375" style="38" customWidth="1"/>
    <col min="8454" max="8454" width="32.125" style="38" customWidth="1"/>
    <col min="8455" max="8455" width="13.625" style="38" customWidth="1"/>
    <col min="8456" max="8456" width="7.125" style="38" customWidth="1"/>
    <col min="8457" max="8457" width="4.375" style="38" customWidth="1"/>
    <col min="8458" max="8460" width="9.375" style="38" customWidth="1"/>
    <col min="8461" max="8703" width="8" style="38"/>
    <col min="8704" max="8704" width="1" style="38" customWidth="1"/>
    <col min="8705" max="8705" width="16.25" style="38" customWidth="1"/>
    <col min="8706" max="8706" width="18.625" style="38" customWidth="1"/>
    <col min="8707" max="8707" width="6" style="38" customWidth="1"/>
    <col min="8708" max="8708" width="15.875" style="38" customWidth="1"/>
    <col min="8709" max="8709" width="10.375" style="38" customWidth="1"/>
    <col min="8710" max="8710" width="32.125" style="38" customWidth="1"/>
    <col min="8711" max="8711" width="13.625" style="38" customWidth="1"/>
    <col min="8712" max="8712" width="7.125" style="38" customWidth="1"/>
    <col min="8713" max="8713" width="4.375" style="38" customWidth="1"/>
    <col min="8714" max="8716" width="9.375" style="38" customWidth="1"/>
    <col min="8717" max="8959" width="8" style="38"/>
    <col min="8960" max="8960" width="1" style="38" customWidth="1"/>
    <col min="8961" max="8961" width="16.25" style="38" customWidth="1"/>
    <col min="8962" max="8962" width="18.625" style="38" customWidth="1"/>
    <col min="8963" max="8963" width="6" style="38" customWidth="1"/>
    <col min="8964" max="8964" width="15.875" style="38" customWidth="1"/>
    <col min="8965" max="8965" width="10.375" style="38" customWidth="1"/>
    <col min="8966" max="8966" width="32.125" style="38" customWidth="1"/>
    <col min="8967" max="8967" width="13.625" style="38" customWidth="1"/>
    <col min="8968" max="8968" width="7.125" style="38" customWidth="1"/>
    <col min="8969" max="8969" width="4.375" style="38" customWidth="1"/>
    <col min="8970" max="8972" width="9.375" style="38" customWidth="1"/>
    <col min="8973" max="9215" width="9" style="38"/>
    <col min="9216" max="9216" width="1" style="38" customWidth="1"/>
    <col min="9217" max="9217" width="16.25" style="38" customWidth="1"/>
    <col min="9218" max="9218" width="18.625" style="38" customWidth="1"/>
    <col min="9219" max="9219" width="6" style="38" customWidth="1"/>
    <col min="9220" max="9220" width="15.875" style="38" customWidth="1"/>
    <col min="9221" max="9221" width="10.375" style="38" customWidth="1"/>
    <col min="9222" max="9222" width="32.125" style="38" customWidth="1"/>
    <col min="9223" max="9223" width="13.625" style="38" customWidth="1"/>
    <col min="9224" max="9224" width="7.125" style="38" customWidth="1"/>
    <col min="9225" max="9225" width="4.375" style="38" customWidth="1"/>
    <col min="9226" max="9228" width="9.375" style="38" customWidth="1"/>
    <col min="9229" max="9471" width="8" style="38"/>
    <col min="9472" max="9472" width="1" style="38" customWidth="1"/>
    <col min="9473" max="9473" width="16.25" style="38" customWidth="1"/>
    <col min="9474" max="9474" width="18.625" style="38" customWidth="1"/>
    <col min="9475" max="9475" width="6" style="38" customWidth="1"/>
    <col min="9476" max="9476" width="15.875" style="38" customWidth="1"/>
    <col min="9477" max="9477" width="10.375" style="38" customWidth="1"/>
    <col min="9478" max="9478" width="32.125" style="38" customWidth="1"/>
    <col min="9479" max="9479" width="13.625" style="38" customWidth="1"/>
    <col min="9480" max="9480" width="7.125" style="38" customWidth="1"/>
    <col min="9481" max="9481" width="4.375" style="38" customWidth="1"/>
    <col min="9482" max="9484" width="9.375" style="38" customWidth="1"/>
    <col min="9485" max="9727" width="8" style="38"/>
    <col min="9728" max="9728" width="1" style="38" customWidth="1"/>
    <col min="9729" max="9729" width="16.25" style="38" customWidth="1"/>
    <col min="9730" max="9730" width="18.625" style="38" customWidth="1"/>
    <col min="9731" max="9731" width="6" style="38" customWidth="1"/>
    <col min="9732" max="9732" width="15.875" style="38" customWidth="1"/>
    <col min="9733" max="9733" width="10.375" style="38" customWidth="1"/>
    <col min="9734" max="9734" width="32.125" style="38" customWidth="1"/>
    <col min="9735" max="9735" width="13.625" style="38" customWidth="1"/>
    <col min="9736" max="9736" width="7.125" style="38" customWidth="1"/>
    <col min="9737" max="9737" width="4.375" style="38" customWidth="1"/>
    <col min="9738" max="9740" width="9.375" style="38" customWidth="1"/>
    <col min="9741" max="9983" width="8" style="38"/>
    <col min="9984" max="9984" width="1" style="38" customWidth="1"/>
    <col min="9985" max="9985" width="16.25" style="38" customWidth="1"/>
    <col min="9986" max="9986" width="18.625" style="38" customWidth="1"/>
    <col min="9987" max="9987" width="6" style="38" customWidth="1"/>
    <col min="9988" max="9988" width="15.875" style="38" customWidth="1"/>
    <col min="9989" max="9989" width="10.375" style="38" customWidth="1"/>
    <col min="9990" max="9990" width="32.125" style="38" customWidth="1"/>
    <col min="9991" max="9991" width="13.625" style="38" customWidth="1"/>
    <col min="9992" max="9992" width="7.125" style="38" customWidth="1"/>
    <col min="9993" max="9993" width="4.375" style="38" customWidth="1"/>
    <col min="9994" max="9996" width="9.375" style="38" customWidth="1"/>
    <col min="9997" max="10239" width="9" style="38"/>
    <col min="10240" max="10240" width="1" style="38" customWidth="1"/>
    <col min="10241" max="10241" width="16.25" style="38" customWidth="1"/>
    <col min="10242" max="10242" width="18.625" style="38" customWidth="1"/>
    <col min="10243" max="10243" width="6" style="38" customWidth="1"/>
    <col min="10244" max="10244" width="15.875" style="38" customWidth="1"/>
    <col min="10245" max="10245" width="10.375" style="38" customWidth="1"/>
    <col min="10246" max="10246" width="32.125" style="38" customWidth="1"/>
    <col min="10247" max="10247" width="13.625" style="38" customWidth="1"/>
    <col min="10248" max="10248" width="7.125" style="38" customWidth="1"/>
    <col min="10249" max="10249" width="4.375" style="38" customWidth="1"/>
    <col min="10250" max="10252" width="9.375" style="38" customWidth="1"/>
    <col min="10253" max="10495" width="8" style="38"/>
    <col min="10496" max="10496" width="1" style="38" customWidth="1"/>
    <col min="10497" max="10497" width="16.25" style="38" customWidth="1"/>
    <col min="10498" max="10498" width="18.625" style="38" customWidth="1"/>
    <col min="10499" max="10499" width="6" style="38" customWidth="1"/>
    <col min="10500" max="10500" width="15.875" style="38" customWidth="1"/>
    <col min="10501" max="10501" width="10.375" style="38" customWidth="1"/>
    <col min="10502" max="10502" width="32.125" style="38" customWidth="1"/>
    <col min="10503" max="10503" width="13.625" style="38" customWidth="1"/>
    <col min="10504" max="10504" width="7.125" style="38" customWidth="1"/>
    <col min="10505" max="10505" width="4.375" style="38" customWidth="1"/>
    <col min="10506" max="10508" width="9.375" style="38" customWidth="1"/>
    <col min="10509" max="10751" width="8" style="38"/>
    <col min="10752" max="10752" width="1" style="38" customWidth="1"/>
    <col min="10753" max="10753" width="16.25" style="38" customWidth="1"/>
    <col min="10754" max="10754" width="18.625" style="38" customWidth="1"/>
    <col min="10755" max="10755" width="6" style="38" customWidth="1"/>
    <col min="10756" max="10756" width="15.875" style="38" customWidth="1"/>
    <col min="10757" max="10757" width="10.375" style="38" customWidth="1"/>
    <col min="10758" max="10758" width="32.125" style="38" customWidth="1"/>
    <col min="10759" max="10759" width="13.625" style="38" customWidth="1"/>
    <col min="10760" max="10760" width="7.125" style="38" customWidth="1"/>
    <col min="10761" max="10761" width="4.375" style="38" customWidth="1"/>
    <col min="10762" max="10764" width="9.375" style="38" customWidth="1"/>
    <col min="10765" max="11007" width="8" style="38"/>
    <col min="11008" max="11008" width="1" style="38" customWidth="1"/>
    <col min="11009" max="11009" width="16.25" style="38" customWidth="1"/>
    <col min="11010" max="11010" width="18.625" style="38" customWidth="1"/>
    <col min="11011" max="11011" width="6" style="38" customWidth="1"/>
    <col min="11012" max="11012" width="15.875" style="38" customWidth="1"/>
    <col min="11013" max="11013" width="10.375" style="38" customWidth="1"/>
    <col min="11014" max="11014" width="32.125" style="38" customWidth="1"/>
    <col min="11015" max="11015" width="13.625" style="38" customWidth="1"/>
    <col min="11016" max="11016" width="7.125" style="38" customWidth="1"/>
    <col min="11017" max="11017" width="4.375" style="38" customWidth="1"/>
    <col min="11018" max="11020" width="9.375" style="38" customWidth="1"/>
    <col min="11021" max="11263" width="9" style="38"/>
    <col min="11264" max="11264" width="1" style="38" customWidth="1"/>
    <col min="11265" max="11265" width="16.25" style="38" customWidth="1"/>
    <col min="11266" max="11266" width="18.625" style="38" customWidth="1"/>
    <col min="11267" max="11267" width="6" style="38" customWidth="1"/>
    <col min="11268" max="11268" width="15.875" style="38" customWidth="1"/>
    <col min="11269" max="11269" width="10.375" style="38" customWidth="1"/>
    <col min="11270" max="11270" width="32.125" style="38" customWidth="1"/>
    <col min="11271" max="11271" width="13.625" style="38" customWidth="1"/>
    <col min="11272" max="11272" width="7.125" style="38" customWidth="1"/>
    <col min="11273" max="11273" width="4.375" style="38" customWidth="1"/>
    <col min="11274" max="11276" width="9.375" style="38" customWidth="1"/>
    <col min="11277" max="11519" width="8" style="38"/>
    <col min="11520" max="11520" width="1" style="38" customWidth="1"/>
    <col min="11521" max="11521" width="16.25" style="38" customWidth="1"/>
    <col min="11522" max="11522" width="18.625" style="38" customWidth="1"/>
    <col min="11523" max="11523" width="6" style="38" customWidth="1"/>
    <col min="11524" max="11524" width="15.875" style="38" customWidth="1"/>
    <col min="11525" max="11525" width="10.375" style="38" customWidth="1"/>
    <col min="11526" max="11526" width="32.125" style="38" customWidth="1"/>
    <col min="11527" max="11527" width="13.625" style="38" customWidth="1"/>
    <col min="11528" max="11528" width="7.125" style="38" customWidth="1"/>
    <col min="11529" max="11529" width="4.375" style="38" customWidth="1"/>
    <col min="11530" max="11532" width="9.375" style="38" customWidth="1"/>
    <col min="11533" max="11775" width="8" style="38"/>
    <col min="11776" max="11776" width="1" style="38" customWidth="1"/>
    <col min="11777" max="11777" width="16.25" style="38" customWidth="1"/>
    <col min="11778" max="11778" width="18.625" style="38" customWidth="1"/>
    <col min="11779" max="11779" width="6" style="38" customWidth="1"/>
    <col min="11780" max="11780" width="15.875" style="38" customWidth="1"/>
    <col min="11781" max="11781" width="10.375" style="38" customWidth="1"/>
    <col min="11782" max="11782" width="32.125" style="38" customWidth="1"/>
    <col min="11783" max="11783" width="13.625" style="38" customWidth="1"/>
    <col min="11784" max="11784" width="7.125" style="38" customWidth="1"/>
    <col min="11785" max="11785" width="4.375" style="38" customWidth="1"/>
    <col min="11786" max="11788" width="9.375" style="38" customWidth="1"/>
    <col min="11789" max="12031" width="8" style="38"/>
    <col min="12032" max="12032" width="1" style="38" customWidth="1"/>
    <col min="12033" max="12033" width="16.25" style="38" customWidth="1"/>
    <col min="12034" max="12034" width="18.625" style="38" customWidth="1"/>
    <col min="12035" max="12035" width="6" style="38" customWidth="1"/>
    <col min="12036" max="12036" width="15.875" style="38" customWidth="1"/>
    <col min="12037" max="12037" width="10.375" style="38" customWidth="1"/>
    <col min="12038" max="12038" width="32.125" style="38" customWidth="1"/>
    <col min="12039" max="12039" width="13.625" style="38" customWidth="1"/>
    <col min="12040" max="12040" width="7.125" style="38" customWidth="1"/>
    <col min="12041" max="12041" width="4.375" style="38" customWidth="1"/>
    <col min="12042" max="12044" width="9.375" style="38" customWidth="1"/>
    <col min="12045" max="12287" width="9" style="38"/>
    <col min="12288" max="12288" width="1" style="38" customWidth="1"/>
    <col min="12289" max="12289" width="16.25" style="38" customWidth="1"/>
    <col min="12290" max="12290" width="18.625" style="38" customWidth="1"/>
    <col min="12291" max="12291" width="6" style="38" customWidth="1"/>
    <col min="12292" max="12292" width="15.875" style="38" customWidth="1"/>
    <col min="12293" max="12293" width="10.375" style="38" customWidth="1"/>
    <col min="12294" max="12294" width="32.125" style="38" customWidth="1"/>
    <col min="12295" max="12295" width="13.625" style="38" customWidth="1"/>
    <col min="12296" max="12296" width="7.125" style="38" customWidth="1"/>
    <col min="12297" max="12297" width="4.375" style="38" customWidth="1"/>
    <col min="12298" max="12300" width="9.375" style="38" customWidth="1"/>
    <col min="12301" max="12543" width="8" style="38"/>
    <col min="12544" max="12544" width="1" style="38" customWidth="1"/>
    <col min="12545" max="12545" width="16.25" style="38" customWidth="1"/>
    <col min="12546" max="12546" width="18.625" style="38" customWidth="1"/>
    <col min="12547" max="12547" width="6" style="38" customWidth="1"/>
    <col min="12548" max="12548" width="15.875" style="38" customWidth="1"/>
    <col min="12549" max="12549" width="10.375" style="38" customWidth="1"/>
    <col min="12550" max="12550" width="32.125" style="38" customWidth="1"/>
    <col min="12551" max="12551" width="13.625" style="38" customWidth="1"/>
    <col min="12552" max="12552" width="7.125" style="38" customWidth="1"/>
    <col min="12553" max="12553" width="4.375" style="38" customWidth="1"/>
    <col min="12554" max="12556" width="9.375" style="38" customWidth="1"/>
    <col min="12557" max="12799" width="8" style="38"/>
    <col min="12800" max="12800" width="1" style="38" customWidth="1"/>
    <col min="12801" max="12801" width="16.25" style="38" customWidth="1"/>
    <col min="12802" max="12802" width="18.625" style="38" customWidth="1"/>
    <col min="12803" max="12803" width="6" style="38" customWidth="1"/>
    <col min="12804" max="12804" width="15.875" style="38" customWidth="1"/>
    <col min="12805" max="12805" width="10.375" style="38" customWidth="1"/>
    <col min="12806" max="12806" width="32.125" style="38" customWidth="1"/>
    <col min="12807" max="12807" width="13.625" style="38" customWidth="1"/>
    <col min="12808" max="12808" width="7.125" style="38" customWidth="1"/>
    <col min="12809" max="12809" width="4.375" style="38" customWidth="1"/>
    <col min="12810" max="12812" width="9.375" style="38" customWidth="1"/>
    <col min="12813" max="13055" width="8" style="38"/>
    <col min="13056" max="13056" width="1" style="38" customWidth="1"/>
    <col min="13057" max="13057" width="16.25" style="38" customWidth="1"/>
    <col min="13058" max="13058" width="18.625" style="38" customWidth="1"/>
    <col min="13059" max="13059" width="6" style="38" customWidth="1"/>
    <col min="13060" max="13060" width="15.875" style="38" customWidth="1"/>
    <col min="13061" max="13061" width="10.375" style="38" customWidth="1"/>
    <col min="13062" max="13062" width="32.125" style="38" customWidth="1"/>
    <col min="13063" max="13063" width="13.625" style="38" customWidth="1"/>
    <col min="13064" max="13064" width="7.125" style="38" customWidth="1"/>
    <col min="13065" max="13065" width="4.375" style="38" customWidth="1"/>
    <col min="13066" max="13068" width="9.375" style="38" customWidth="1"/>
    <col min="13069" max="13311" width="9" style="38"/>
    <col min="13312" max="13312" width="1" style="38" customWidth="1"/>
    <col min="13313" max="13313" width="16.25" style="38" customWidth="1"/>
    <col min="13314" max="13314" width="18.625" style="38" customWidth="1"/>
    <col min="13315" max="13315" width="6" style="38" customWidth="1"/>
    <col min="13316" max="13316" width="15.875" style="38" customWidth="1"/>
    <col min="13317" max="13317" width="10.375" style="38" customWidth="1"/>
    <col min="13318" max="13318" width="32.125" style="38" customWidth="1"/>
    <col min="13319" max="13319" width="13.625" style="38" customWidth="1"/>
    <col min="13320" max="13320" width="7.125" style="38" customWidth="1"/>
    <col min="13321" max="13321" width="4.375" style="38" customWidth="1"/>
    <col min="13322" max="13324" width="9.375" style="38" customWidth="1"/>
    <col min="13325" max="13567" width="8" style="38"/>
    <col min="13568" max="13568" width="1" style="38" customWidth="1"/>
    <col min="13569" max="13569" width="16.25" style="38" customWidth="1"/>
    <col min="13570" max="13570" width="18.625" style="38" customWidth="1"/>
    <col min="13571" max="13571" width="6" style="38" customWidth="1"/>
    <col min="13572" max="13572" width="15.875" style="38" customWidth="1"/>
    <col min="13573" max="13573" width="10.375" style="38" customWidth="1"/>
    <col min="13574" max="13574" width="32.125" style="38" customWidth="1"/>
    <col min="13575" max="13575" width="13.625" style="38" customWidth="1"/>
    <col min="13576" max="13576" width="7.125" style="38" customWidth="1"/>
    <col min="13577" max="13577" width="4.375" style="38" customWidth="1"/>
    <col min="13578" max="13580" width="9.375" style="38" customWidth="1"/>
    <col min="13581" max="13823" width="8" style="38"/>
    <col min="13824" max="13824" width="1" style="38" customWidth="1"/>
    <col min="13825" max="13825" width="16.25" style="38" customWidth="1"/>
    <col min="13826" max="13826" width="18.625" style="38" customWidth="1"/>
    <col min="13827" max="13827" width="6" style="38" customWidth="1"/>
    <col min="13828" max="13828" width="15.875" style="38" customWidth="1"/>
    <col min="13829" max="13829" width="10.375" style="38" customWidth="1"/>
    <col min="13830" max="13830" width="32.125" style="38" customWidth="1"/>
    <col min="13831" max="13831" width="13.625" style="38" customWidth="1"/>
    <col min="13832" max="13832" width="7.125" style="38" customWidth="1"/>
    <col min="13833" max="13833" width="4.375" style="38" customWidth="1"/>
    <col min="13834" max="13836" width="9.375" style="38" customWidth="1"/>
    <col min="13837" max="14079" width="8" style="38"/>
    <col min="14080" max="14080" width="1" style="38" customWidth="1"/>
    <col min="14081" max="14081" width="16.25" style="38" customWidth="1"/>
    <col min="14082" max="14082" width="18.625" style="38" customWidth="1"/>
    <col min="14083" max="14083" width="6" style="38" customWidth="1"/>
    <col min="14084" max="14084" width="15.875" style="38" customWidth="1"/>
    <col min="14085" max="14085" width="10.375" style="38" customWidth="1"/>
    <col min="14086" max="14086" width="32.125" style="38" customWidth="1"/>
    <col min="14087" max="14087" width="13.625" style="38" customWidth="1"/>
    <col min="14088" max="14088" width="7.125" style="38" customWidth="1"/>
    <col min="14089" max="14089" width="4.375" style="38" customWidth="1"/>
    <col min="14090" max="14092" width="9.375" style="38" customWidth="1"/>
    <col min="14093" max="14335" width="9" style="38"/>
    <col min="14336" max="14336" width="1" style="38" customWidth="1"/>
    <col min="14337" max="14337" width="16.25" style="38" customWidth="1"/>
    <col min="14338" max="14338" width="18.625" style="38" customWidth="1"/>
    <col min="14339" max="14339" width="6" style="38" customWidth="1"/>
    <col min="14340" max="14340" width="15.875" style="38" customWidth="1"/>
    <col min="14341" max="14341" width="10.375" style="38" customWidth="1"/>
    <col min="14342" max="14342" width="32.125" style="38" customWidth="1"/>
    <col min="14343" max="14343" width="13.625" style="38" customWidth="1"/>
    <col min="14344" max="14344" width="7.125" style="38" customWidth="1"/>
    <col min="14345" max="14345" width="4.375" style="38" customWidth="1"/>
    <col min="14346" max="14348" width="9.375" style="38" customWidth="1"/>
    <col min="14349" max="14591" width="8" style="38"/>
    <col min="14592" max="14592" width="1" style="38" customWidth="1"/>
    <col min="14593" max="14593" width="16.25" style="38" customWidth="1"/>
    <col min="14594" max="14594" width="18.625" style="38" customWidth="1"/>
    <col min="14595" max="14595" width="6" style="38" customWidth="1"/>
    <col min="14596" max="14596" width="15.875" style="38" customWidth="1"/>
    <col min="14597" max="14597" width="10.375" style="38" customWidth="1"/>
    <col min="14598" max="14598" width="32.125" style="38" customWidth="1"/>
    <col min="14599" max="14599" width="13.625" style="38" customWidth="1"/>
    <col min="14600" max="14600" width="7.125" style="38" customWidth="1"/>
    <col min="14601" max="14601" width="4.375" style="38" customWidth="1"/>
    <col min="14602" max="14604" width="9.375" style="38" customWidth="1"/>
    <col min="14605" max="14847" width="8" style="38"/>
    <col min="14848" max="14848" width="1" style="38" customWidth="1"/>
    <col min="14849" max="14849" width="16.25" style="38" customWidth="1"/>
    <col min="14850" max="14850" width="18.625" style="38" customWidth="1"/>
    <col min="14851" max="14851" width="6" style="38" customWidth="1"/>
    <col min="14852" max="14852" width="15.875" style="38" customWidth="1"/>
    <col min="14853" max="14853" width="10.375" style="38" customWidth="1"/>
    <col min="14854" max="14854" width="32.125" style="38" customWidth="1"/>
    <col min="14855" max="14855" width="13.625" style="38" customWidth="1"/>
    <col min="14856" max="14856" width="7.125" style="38" customWidth="1"/>
    <col min="14857" max="14857" width="4.375" style="38" customWidth="1"/>
    <col min="14858" max="14860" width="9.375" style="38" customWidth="1"/>
    <col min="14861" max="15103" width="8" style="38"/>
    <col min="15104" max="15104" width="1" style="38" customWidth="1"/>
    <col min="15105" max="15105" width="16.25" style="38" customWidth="1"/>
    <col min="15106" max="15106" width="18.625" style="38" customWidth="1"/>
    <col min="15107" max="15107" width="6" style="38" customWidth="1"/>
    <col min="15108" max="15108" width="15.875" style="38" customWidth="1"/>
    <col min="15109" max="15109" width="10.375" style="38" customWidth="1"/>
    <col min="15110" max="15110" width="32.125" style="38" customWidth="1"/>
    <col min="15111" max="15111" width="13.625" style="38" customWidth="1"/>
    <col min="15112" max="15112" width="7.125" style="38" customWidth="1"/>
    <col min="15113" max="15113" width="4.375" style="38" customWidth="1"/>
    <col min="15114" max="15116" width="9.375" style="38" customWidth="1"/>
    <col min="15117" max="15359" width="9" style="38"/>
    <col min="15360" max="15360" width="1" style="38" customWidth="1"/>
    <col min="15361" max="15361" width="16.25" style="38" customWidth="1"/>
    <col min="15362" max="15362" width="18.625" style="38" customWidth="1"/>
    <col min="15363" max="15363" width="6" style="38" customWidth="1"/>
    <col min="15364" max="15364" width="15.875" style="38" customWidth="1"/>
    <col min="15365" max="15365" width="10.375" style="38" customWidth="1"/>
    <col min="15366" max="15366" width="32.125" style="38" customWidth="1"/>
    <col min="15367" max="15367" width="13.625" style="38" customWidth="1"/>
    <col min="15368" max="15368" width="7.125" style="38" customWidth="1"/>
    <col min="15369" max="15369" width="4.375" style="38" customWidth="1"/>
    <col min="15370" max="15372" width="9.375" style="38" customWidth="1"/>
    <col min="15373" max="15615" width="8" style="38"/>
    <col min="15616" max="15616" width="1" style="38" customWidth="1"/>
    <col min="15617" max="15617" width="16.25" style="38" customWidth="1"/>
    <col min="15618" max="15618" width="18.625" style="38" customWidth="1"/>
    <col min="15619" max="15619" width="6" style="38" customWidth="1"/>
    <col min="15620" max="15620" width="15.875" style="38" customWidth="1"/>
    <col min="15621" max="15621" width="10.375" style="38" customWidth="1"/>
    <col min="15622" max="15622" width="32.125" style="38" customWidth="1"/>
    <col min="15623" max="15623" width="13.625" style="38" customWidth="1"/>
    <col min="15624" max="15624" width="7.125" style="38" customWidth="1"/>
    <col min="15625" max="15625" width="4.375" style="38" customWidth="1"/>
    <col min="15626" max="15628" width="9.375" style="38" customWidth="1"/>
    <col min="15629" max="15871" width="8" style="38"/>
    <col min="15872" max="15872" width="1" style="38" customWidth="1"/>
    <col min="15873" max="15873" width="16.25" style="38" customWidth="1"/>
    <col min="15874" max="15874" width="18.625" style="38" customWidth="1"/>
    <col min="15875" max="15875" width="6" style="38" customWidth="1"/>
    <col min="15876" max="15876" width="15.875" style="38" customWidth="1"/>
    <col min="15877" max="15877" width="10.375" style="38" customWidth="1"/>
    <col min="15878" max="15878" width="32.125" style="38" customWidth="1"/>
    <col min="15879" max="15879" width="13.625" style="38" customWidth="1"/>
    <col min="15880" max="15880" width="7.125" style="38" customWidth="1"/>
    <col min="15881" max="15881" width="4.375" style="38" customWidth="1"/>
    <col min="15882" max="15884" width="9.375" style="38" customWidth="1"/>
    <col min="15885" max="16127" width="8" style="38"/>
    <col min="16128" max="16128" width="1" style="38" customWidth="1"/>
    <col min="16129" max="16129" width="16.25" style="38" customWidth="1"/>
    <col min="16130" max="16130" width="18.625" style="38" customWidth="1"/>
    <col min="16131" max="16131" width="6" style="38" customWidth="1"/>
    <col min="16132" max="16132" width="15.875" style="38" customWidth="1"/>
    <col min="16133" max="16133" width="10.375" style="38" customWidth="1"/>
    <col min="16134" max="16134" width="32.125" style="38" customWidth="1"/>
    <col min="16135" max="16135" width="13.625" style="38" customWidth="1"/>
    <col min="16136" max="16136" width="7.125" style="38" customWidth="1"/>
    <col min="16137" max="16137" width="4.375" style="38" customWidth="1"/>
    <col min="16138" max="16140" width="9.375" style="38" customWidth="1"/>
    <col min="16141" max="16384" width="9" style="38"/>
  </cols>
  <sheetData>
    <row r="1" spans="2:14" ht="77.25" customHeight="1" x14ac:dyDescent="0.2">
      <c r="H1" s="373" t="s">
        <v>141</v>
      </c>
      <c r="M1" s="374"/>
      <c r="N1" s="392" t="s">
        <v>89</v>
      </c>
    </row>
    <row r="2" spans="2:14" ht="64.5" hidden="1" customHeight="1" x14ac:dyDescent="0.2">
      <c r="N2" s="44" t="s">
        <v>155</v>
      </c>
    </row>
    <row r="3" spans="2:14" ht="57.75" customHeight="1" x14ac:dyDescent="0.2">
      <c r="C3" s="25" t="s">
        <v>68</v>
      </c>
      <c r="D3" s="434" t="s">
        <v>69</v>
      </c>
      <c r="E3" s="434"/>
      <c r="F3" s="434"/>
      <c r="G3" s="78"/>
      <c r="H3" s="36"/>
      <c r="J3" s="37"/>
      <c r="K3" s="37"/>
      <c r="L3" s="44"/>
    </row>
    <row r="4" spans="2:14" ht="7.5" hidden="1" customHeight="1" x14ac:dyDescent="0.25">
      <c r="C4" s="25"/>
      <c r="D4" s="77"/>
      <c r="E4" s="77"/>
      <c r="F4" s="77"/>
      <c r="G4" s="78"/>
      <c r="H4" s="36"/>
      <c r="J4" s="37"/>
      <c r="K4" s="37"/>
      <c r="L4" s="44"/>
    </row>
    <row r="5" spans="2:14" ht="50.25" customHeight="1" x14ac:dyDescent="0.2">
      <c r="C5" s="24" t="s">
        <v>143</v>
      </c>
      <c r="D5" s="441" t="s">
        <v>144</v>
      </c>
      <c r="E5" s="441"/>
      <c r="F5" s="441"/>
      <c r="G5" s="441"/>
      <c r="H5" s="441"/>
      <c r="I5" s="441"/>
      <c r="J5" s="441"/>
      <c r="K5" s="441"/>
      <c r="L5" s="441"/>
      <c r="M5" s="441"/>
    </row>
    <row r="6" spans="2:14" ht="13.9" thickBot="1" x14ac:dyDescent="0.3">
      <c r="C6" s="435"/>
      <c r="D6" s="435"/>
      <c r="E6" s="435"/>
      <c r="F6" s="435"/>
      <c r="G6" s="435"/>
      <c r="H6" s="435"/>
      <c r="I6" s="435"/>
      <c r="J6" s="435"/>
      <c r="K6" s="62">
        <v>0.4</v>
      </c>
    </row>
    <row r="7" spans="2:14" ht="39.75" customHeight="1" x14ac:dyDescent="0.2">
      <c r="H7" s="436" t="s">
        <v>142</v>
      </c>
      <c r="I7" s="437"/>
      <c r="J7" s="438"/>
      <c r="K7" s="224"/>
      <c r="L7" s="224"/>
    </row>
    <row r="8" spans="2:14" ht="3" customHeight="1" x14ac:dyDescent="0.2">
      <c r="C8" s="64"/>
      <c r="D8" s="46"/>
      <c r="E8" s="46"/>
      <c r="F8" s="46"/>
      <c r="G8" s="46"/>
      <c r="H8" s="439"/>
      <c r="I8" s="440"/>
      <c r="J8" s="440"/>
      <c r="K8" s="226"/>
      <c r="L8" s="224"/>
    </row>
    <row r="9" spans="2:14" ht="46.5" customHeight="1" x14ac:dyDescent="0.2">
      <c r="B9" s="427" t="s">
        <v>90</v>
      </c>
      <c r="C9" s="254" t="s">
        <v>91</v>
      </c>
      <c r="D9" s="225" t="s">
        <v>92</v>
      </c>
      <c r="E9" s="84" t="s">
        <v>145</v>
      </c>
      <c r="F9" s="84" t="s">
        <v>146</v>
      </c>
      <c r="G9" s="87" t="s">
        <v>147</v>
      </c>
      <c r="H9" s="158" t="s">
        <v>148</v>
      </c>
      <c r="I9" s="84" t="s">
        <v>149</v>
      </c>
      <c r="J9" s="105" t="s">
        <v>159</v>
      </c>
      <c r="K9" s="106" t="s">
        <v>103</v>
      </c>
      <c r="L9" s="107" t="s">
        <v>150</v>
      </c>
      <c r="N9" s="38"/>
    </row>
    <row r="10" spans="2:14" ht="78" customHeight="1" x14ac:dyDescent="0.2">
      <c r="B10" s="427"/>
      <c r="C10" s="292">
        <v>42871</v>
      </c>
      <c r="D10" s="292">
        <v>42877</v>
      </c>
      <c r="E10" s="255" t="s">
        <v>151</v>
      </c>
      <c r="F10" s="256" t="s">
        <v>152</v>
      </c>
      <c r="G10" s="257" t="s">
        <v>55</v>
      </c>
      <c r="H10" s="258">
        <v>72</v>
      </c>
      <c r="I10" s="259">
        <v>93.4</v>
      </c>
      <c r="J10" s="163">
        <v>2689.92</v>
      </c>
      <c r="K10" s="260">
        <v>45</v>
      </c>
      <c r="L10" s="261">
        <v>2689.92</v>
      </c>
      <c r="N10" s="38"/>
    </row>
    <row r="11" spans="2:14" ht="54" customHeight="1" x14ac:dyDescent="0.2">
      <c r="B11" s="427"/>
      <c r="C11" s="292">
        <v>44792</v>
      </c>
      <c r="D11" s="292">
        <v>44805</v>
      </c>
      <c r="E11" s="262" t="s">
        <v>153</v>
      </c>
      <c r="F11" s="263" t="s">
        <v>154</v>
      </c>
      <c r="G11" s="264" t="s">
        <v>54</v>
      </c>
      <c r="H11" s="265">
        <v>12</v>
      </c>
      <c r="I11" s="266">
        <v>113.65</v>
      </c>
      <c r="J11" s="267">
        <v>545.52</v>
      </c>
      <c r="K11" s="268">
        <v>83</v>
      </c>
      <c r="L11" s="269">
        <v>545.52</v>
      </c>
      <c r="N11" s="38"/>
    </row>
    <row r="12" spans="2:14" ht="26.45" hidden="1" x14ac:dyDescent="0.25">
      <c r="C12" s="217" t="s">
        <v>14</v>
      </c>
      <c r="D12" s="218" t="s">
        <v>0</v>
      </c>
      <c r="E12" s="218" t="s">
        <v>38</v>
      </c>
      <c r="F12" s="183" t="s">
        <v>1</v>
      </c>
      <c r="G12" s="219" t="s">
        <v>2</v>
      </c>
      <c r="H12" s="159" t="s">
        <v>8</v>
      </c>
      <c r="I12" s="27" t="s">
        <v>9</v>
      </c>
      <c r="J12" s="157" t="s">
        <v>10</v>
      </c>
      <c r="K12" s="182" t="s">
        <v>13</v>
      </c>
      <c r="L12" s="220" t="s">
        <v>23</v>
      </c>
      <c r="N12" s="38"/>
    </row>
    <row r="13" spans="2:14" ht="13.15" x14ac:dyDescent="0.25">
      <c r="C13" s="252"/>
      <c r="D13" s="252"/>
      <c r="E13" s="223"/>
      <c r="F13" s="223"/>
      <c r="G13" s="213"/>
      <c r="H13" s="227"/>
      <c r="I13" s="228"/>
      <c r="J13" s="229">
        <f>(EquipOC[[#This Row],[Hours Used]]*EquipOC[[#This Row],[Claimant''s Rate]])*0.4</f>
        <v>0</v>
      </c>
      <c r="K13" s="371"/>
      <c r="L13" s="187">
        <f>SUM(EquipOC[[#This Row],[Total (Option 1)]])</f>
        <v>0</v>
      </c>
      <c r="N13" s="38"/>
    </row>
    <row r="14" spans="2:14" ht="13.15" x14ac:dyDescent="0.25">
      <c r="C14" s="252"/>
      <c r="D14" s="252"/>
      <c r="E14" s="223"/>
      <c r="F14" s="223"/>
      <c r="G14" s="213"/>
      <c r="H14" s="227"/>
      <c r="I14" s="228"/>
      <c r="J14" s="229">
        <f>(EquipOC[[#This Row],[Hours Used]]*EquipOC[[#This Row],[Claimant''s Rate]])*0.4</f>
        <v>0</v>
      </c>
      <c r="K14" s="371"/>
      <c r="L14" s="187">
        <f>SUM(EquipOC[[#This Row],[Total (Option 1)]])</f>
        <v>0</v>
      </c>
      <c r="N14" s="38"/>
    </row>
    <row r="15" spans="2:14" x14ac:dyDescent="0.2">
      <c r="C15" s="252"/>
      <c r="D15" s="252"/>
      <c r="E15" s="223"/>
      <c r="F15" s="223"/>
      <c r="G15" s="213"/>
      <c r="H15" s="227"/>
      <c r="I15" s="228"/>
      <c r="J15" s="229">
        <f>(EquipOC[[#This Row],[Hours Used]]*EquipOC[[#This Row],[Claimant''s Rate]])*0.4</f>
        <v>0</v>
      </c>
      <c r="K15" s="371"/>
      <c r="L15" s="187">
        <f>SUM(EquipOC[[#This Row],[Total (Option 1)]])</f>
        <v>0</v>
      </c>
      <c r="N15" s="38"/>
    </row>
    <row r="16" spans="2:14" ht="13.15" x14ac:dyDescent="0.25">
      <c r="C16" s="252"/>
      <c r="D16" s="252"/>
      <c r="E16" s="223"/>
      <c r="F16" s="223"/>
      <c r="G16" s="213"/>
      <c r="H16" s="227"/>
      <c r="I16" s="228"/>
      <c r="J16" s="229">
        <f>(EquipOC[[#This Row],[Hours Used]]*EquipOC[[#This Row],[Claimant''s Rate]])*0.4</f>
        <v>0</v>
      </c>
      <c r="K16" s="371"/>
      <c r="L16" s="187">
        <f>SUM(EquipOC[[#This Row],[Total (Option 1)]])</f>
        <v>0</v>
      </c>
      <c r="M16" s="44"/>
      <c r="N16" s="38"/>
    </row>
    <row r="17" spans="3:14" ht="13.15" x14ac:dyDescent="0.25">
      <c r="C17" s="252"/>
      <c r="D17" s="252"/>
      <c r="E17" s="223"/>
      <c r="F17" s="223"/>
      <c r="G17" s="213"/>
      <c r="H17" s="227"/>
      <c r="I17" s="228"/>
      <c r="J17" s="229">
        <f>(EquipOC[[#This Row],[Hours Used]]*EquipOC[[#This Row],[Claimant''s Rate]])*0.4</f>
        <v>0</v>
      </c>
      <c r="K17" s="371"/>
      <c r="L17" s="187">
        <f>SUM(EquipOC[[#This Row],[Total (Option 1)]])</f>
        <v>0</v>
      </c>
      <c r="M17" s="44"/>
      <c r="N17" s="38"/>
    </row>
    <row r="18" spans="3:14" ht="13.15" x14ac:dyDescent="0.25">
      <c r="C18" s="252"/>
      <c r="D18" s="252"/>
      <c r="E18" s="223"/>
      <c r="F18" s="223"/>
      <c r="G18" s="213"/>
      <c r="H18" s="227"/>
      <c r="I18" s="228"/>
      <c r="J18" s="229">
        <f>(EquipOC[[#This Row],[Hours Used]]*EquipOC[[#This Row],[Claimant''s Rate]])*0.4</f>
        <v>0</v>
      </c>
      <c r="K18" s="371"/>
      <c r="L18" s="187">
        <f>SUM(EquipOC[[#This Row],[Total (Option 1)]])</f>
        <v>0</v>
      </c>
      <c r="M18" s="44"/>
      <c r="N18" s="38"/>
    </row>
    <row r="19" spans="3:14" ht="13.15" x14ac:dyDescent="0.25">
      <c r="C19" s="252"/>
      <c r="D19" s="252"/>
      <c r="E19" s="223"/>
      <c r="F19" s="223"/>
      <c r="G19" s="213"/>
      <c r="H19" s="227"/>
      <c r="I19" s="228"/>
      <c r="J19" s="229">
        <f>(EquipOC[[#This Row],[Hours Used]]*EquipOC[[#This Row],[Claimant''s Rate]])*0.4</f>
        <v>0</v>
      </c>
      <c r="K19" s="371"/>
      <c r="L19" s="187">
        <f>SUM(EquipOC[[#This Row],[Total (Option 1)]])</f>
        <v>0</v>
      </c>
      <c r="M19" s="44"/>
      <c r="N19" s="38"/>
    </row>
    <row r="20" spans="3:14" ht="13.15" x14ac:dyDescent="0.25">
      <c r="C20" s="252"/>
      <c r="D20" s="252"/>
      <c r="E20" s="223"/>
      <c r="F20" s="223"/>
      <c r="G20" s="213"/>
      <c r="H20" s="227"/>
      <c r="I20" s="228"/>
      <c r="J20" s="229">
        <f>(EquipOC[[#This Row],[Hours Used]]*EquipOC[[#This Row],[Claimant''s Rate]])*0.4</f>
        <v>0</v>
      </c>
      <c r="K20" s="371"/>
      <c r="L20" s="187">
        <f>SUM(EquipOC[[#This Row],[Total (Option 1)]])</f>
        <v>0</v>
      </c>
      <c r="M20" s="44"/>
      <c r="N20" s="38"/>
    </row>
    <row r="21" spans="3:14" ht="13.15" x14ac:dyDescent="0.25">
      <c r="C21" s="252"/>
      <c r="D21" s="252"/>
      <c r="E21" s="223"/>
      <c r="F21" s="223"/>
      <c r="G21" s="213"/>
      <c r="H21" s="227"/>
      <c r="I21" s="228"/>
      <c r="J21" s="229">
        <f>(EquipOC[[#This Row],[Hours Used]]*EquipOC[[#This Row],[Claimant''s Rate]])*0.4</f>
        <v>0</v>
      </c>
      <c r="K21" s="371"/>
      <c r="L21" s="187">
        <f>SUM(EquipOC[[#This Row],[Total (Option 1)]])</f>
        <v>0</v>
      </c>
      <c r="M21" s="44"/>
      <c r="N21" s="38"/>
    </row>
    <row r="22" spans="3:14" ht="13.15" x14ac:dyDescent="0.25">
      <c r="C22" s="252"/>
      <c r="D22" s="252"/>
      <c r="E22" s="223"/>
      <c r="F22" s="223"/>
      <c r="G22" s="213"/>
      <c r="H22" s="227"/>
      <c r="I22" s="228"/>
      <c r="J22" s="229">
        <f>(EquipOC[[#This Row],[Hours Used]]*EquipOC[[#This Row],[Claimant''s Rate]])*0.4</f>
        <v>0</v>
      </c>
      <c r="K22" s="371"/>
      <c r="L22" s="187">
        <f>SUM(EquipOC[[#This Row],[Total (Option 1)]])</f>
        <v>0</v>
      </c>
      <c r="M22" s="44"/>
      <c r="N22" s="38"/>
    </row>
    <row r="23" spans="3:14" ht="13.15" x14ac:dyDescent="0.25">
      <c r="C23" s="252"/>
      <c r="D23" s="252"/>
      <c r="E23" s="223"/>
      <c r="F23" s="223"/>
      <c r="G23" s="213"/>
      <c r="H23" s="227"/>
      <c r="I23" s="228"/>
      <c r="J23" s="229">
        <f>(EquipOC[[#This Row],[Hours Used]]*EquipOC[[#This Row],[Claimant''s Rate]])*0.4</f>
        <v>0</v>
      </c>
      <c r="K23" s="371"/>
      <c r="L23" s="187">
        <f>SUM(EquipOC[[#This Row],[Total (Option 1)]])</f>
        <v>0</v>
      </c>
      <c r="M23" s="44"/>
      <c r="N23" s="38"/>
    </row>
    <row r="24" spans="3:14" ht="13.15" x14ac:dyDescent="0.25">
      <c r="C24" s="252"/>
      <c r="D24" s="252"/>
      <c r="E24" s="223"/>
      <c r="F24" s="223"/>
      <c r="G24" s="213"/>
      <c r="H24" s="227"/>
      <c r="I24" s="228"/>
      <c r="J24" s="229">
        <f>(EquipOC[[#This Row],[Hours Used]]*EquipOC[[#This Row],[Claimant''s Rate]])*0.4</f>
        <v>0</v>
      </c>
      <c r="K24" s="371"/>
      <c r="L24" s="187">
        <f>SUM(EquipOC[[#This Row],[Total (Option 1)]])</f>
        <v>0</v>
      </c>
      <c r="M24" s="44"/>
      <c r="N24" s="38"/>
    </row>
    <row r="25" spans="3:14" ht="13.15" x14ac:dyDescent="0.25">
      <c r="C25" s="252"/>
      <c r="D25" s="252"/>
      <c r="E25" s="223"/>
      <c r="F25" s="223"/>
      <c r="G25" s="223"/>
      <c r="H25" s="227"/>
      <c r="I25" s="228"/>
      <c r="J25" s="230">
        <f>(EquipOC[[#This Row],[Hours Used]]*EquipOC[[#This Row],[Claimant''s Rate]])*0.4</f>
        <v>0</v>
      </c>
      <c r="K25" s="371"/>
      <c r="L25" s="187">
        <f>SUM(EquipOC[[#This Row],[Total (Option 1)]])</f>
        <v>0</v>
      </c>
    </row>
    <row r="26" spans="3:14" ht="13.15" x14ac:dyDescent="0.25">
      <c r="C26" s="252"/>
      <c r="D26" s="252"/>
      <c r="E26" s="223"/>
      <c r="F26" s="223"/>
      <c r="G26" s="223"/>
      <c r="H26" s="227"/>
      <c r="I26" s="228"/>
      <c r="J26" s="230">
        <f>(EquipOC[[#This Row],[Hours Used]]*EquipOC[[#This Row],[Claimant''s Rate]])*0.4</f>
        <v>0</v>
      </c>
      <c r="K26" s="371"/>
      <c r="L26" s="187">
        <f>SUM(EquipOC[[#This Row],[Total (Option 1)]])</f>
        <v>0</v>
      </c>
    </row>
    <row r="27" spans="3:14" ht="13.15" x14ac:dyDescent="0.25">
      <c r="C27" s="252"/>
      <c r="D27" s="252"/>
      <c r="E27" s="223"/>
      <c r="F27" s="223"/>
      <c r="G27" s="223"/>
      <c r="H27" s="227"/>
      <c r="I27" s="228"/>
      <c r="J27" s="230">
        <f>(EquipOC[[#This Row],[Hours Used]]*EquipOC[[#This Row],[Claimant''s Rate]])*0.4</f>
        <v>0</v>
      </c>
      <c r="K27" s="371"/>
      <c r="L27" s="187">
        <f>SUM(EquipOC[[#This Row],[Total (Option 1)]])</f>
        <v>0</v>
      </c>
    </row>
    <row r="28" spans="3:14" ht="13.15" x14ac:dyDescent="0.25">
      <c r="C28" s="252"/>
      <c r="D28" s="252"/>
      <c r="E28" s="223"/>
      <c r="F28" s="223"/>
      <c r="G28" s="223"/>
      <c r="H28" s="227"/>
      <c r="I28" s="228"/>
      <c r="J28" s="230">
        <f>(EquipOC[[#This Row],[Hours Used]]*EquipOC[[#This Row],[Claimant''s Rate]])*0.4</f>
        <v>0</v>
      </c>
      <c r="K28" s="371"/>
      <c r="L28" s="187">
        <f>SUM(EquipOC[[#This Row],[Total (Option 1)]])</f>
        <v>0</v>
      </c>
    </row>
    <row r="29" spans="3:14" ht="13.15" x14ac:dyDescent="0.25">
      <c r="C29" s="252"/>
      <c r="D29" s="252"/>
      <c r="E29" s="223"/>
      <c r="F29" s="223"/>
      <c r="G29" s="223"/>
      <c r="H29" s="227"/>
      <c r="I29" s="228"/>
      <c r="J29" s="230">
        <f>(EquipOC[[#This Row],[Hours Used]]*EquipOC[[#This Row],[Claimant''s Rate]])*0.4</f>
        <v>0</v>
      </c>
      <c r="K29" s="371"/>
      <c r="L29" s="187">
        <f>SUM(EquipOC[[#This Row],[Total (Option 1)]])</f>
        <v>0</v>
      </c>
    </row>
    <row r="30" spans="3:14" ht="13.15" x14ac:dyDescent="0.25">
      <c r="C30" s="252"/>
      <c r="D30" s="252"/>
      <c r="E30" s="223"/>
      <c r="F30" s="223"/>
      <c r="G30" s="223"/>
      <c r="H30" s="227"/>
      <c r="I30" s="228"/>
      <c r="J30" s="230">
        <f>(EquipOC[[#This Row],[Hours Used]]*EquipOC[[#This Row],[Claimant''s Rate]])*0.4</f>
        <v>0</v>
      </c>
      <c r="K30" s="371"/>
      <c r="L30" s="187">
        <f>SUM(EquipOC[[#This Row],[Total (Option 1)]])</f>
        <v>0</v>
      </c>
    </row>
    <row r="31" spans="3:14" x14ac:dyDescent="0.2">
      <c r="C31" s="252"/>
      <c r="D31" s="252"/>
      <c r="E31" s="223"/>
      <c r="F31" s="223"/>
      <c r="G31" s="223"/>
      <c r="H31" s="227"/>
      <c r="I31" s="228"/>
      <c r="J31" s="230">
        <f>(EquipOC[[#This Row],[Hours Used]]*EquipOC[[#This Row],[Claimant''s Rate]])*0.4</f>
        <v>0</v>
      </c>
      <c r="K31" s="371"/>
      <c r="L31" s="187">
        <f>SUM(EquipOC[[#This Row],[Total (Option 1)]])</f>
        <v>0</v>
      </c>
    </row>
    <row r="32" spans="3:14" x14ac:dyDescent="0.2">
      <c r="C32" s="252"/>
      <c r="D32" s="252"/>
      <c r="E32" s="223"/>
      <c r="F32" s="223"/>
      <c r="G32" s="223"/>
      <c r="H32" s="227"/>
      <c r="I32" s="228"/>
      <c r="J32" s="388">
        <f>(EquipOC[[#This Row],[Hours Used]]*EquipOC[[#This Row],[Claimant''s Rate]])*0.4</f>
        <v>0</v>
      </c>
      <c r="K32" s="371"/>
      <c r="L32" s="187">
        <f>SUM(EquipOC[[#This Row],[Total (Option 1)]])</f>
        <v>0</v>
      </c>
    </row>
    <row r="33" spans="3:12" x14ac:dyDescent="0.2">
      <c r="C33" s="252"/>
      <c r="D33" s="252"/>
      <c r="E33" s="223"/>
      <c r="F33" s="223"/>
      <c r="G33" s="223"/>
      <c r="H33" s="227"/>
      <c r="I33" s="228"/>
      <c r="J33" s="388">
        <f>(EquipOC[[#This Row],[Hours Used]]*EquipOC[[#This Row],[Claimant''s Rate]])*0.4</f>
        <v>0</v>
      </c>
      <c r="K33" s="371"/>
      <c r="L33" s="187">
        <f>SUM(EquipOC[[#This Row],[Total (Option 1)]])</f>
        <v>0</v>
      </c>
    </row>
    <row r="34" spans="3:12" ht="15.75" thickBot="1" x14ac:dyDescent="0.25">
      <c r="C34" s="45"/>
      <c r="D34" s="40"/>
      <c r="E34" s="40"/>
      <c r="F34" s="40"/>
      <c r="G34" s="40"/>
      <c r="H34" s="123"/>
      <c r="I34" s="124"/>
      <c r="J34" s="221">
        <f>SUM(EquipOC[Total (Option 1)])</f>
        <v>0</v>
      </c>
      <c r="K34" s="125" t="s">
        <v>39</v>
      </c>
      <c r="L34" s="222">
        <f>SUM(EquipOC[Total Costs])</f>
        <v>0</v>
      </c>
    </row>
    <row r="35" spans="3:12" x14ac:dyDescent="0.2">
      <c r="J35" s="65"/>
    </row>
  </sheetData>
  <sheetProtection selectLockedCells="1"/>
  <mergeCells count="5">
    <mergeCell ref="B9:B11"/>
    <mergeCell ref="D3:F3"/>
    <mergeCell ref="C6:J6"/>
    <mergeCell ref="H7:J8"/>
    <mergeCell ref="D5:M5"/>
  </mergeCells>
  <conditionalFormatting sqref="K13:K33">
    <cfRule type="expression" dxfId="94" priority="1" stopIfTrue="1">
      <formula>$L13=0</formula>
    </cfRule>
    <cfRule type="expression" dxfId="93" priority="2">
      <formula>$K13=0</formula>
    </cfRule>
  </conditionalFormatting>
  <dataValidations count="3">
    <dataValidation type="date" allowBlank="1" showInputMessage="1" showErrorMessage="1" errorTitle="Error" error="Please enter a valid date in the format YYYY/MM/DD" promptTitle="Date Format" prompt="Enter dates as YYYY/MM/DD" sqref="C13:D13">
      <formula1>40544</formula1>
      <formula2>73415</formula2>
    </dataValidation>
    <dataValidation type="date" allowBlank="1" showErrorMessage="1" errorTitle="Error" error="Please enter a valid date in the format YYYY/MM/DD" promptTitle="Date Format" prompt="Enter dates as YYYY/MM/DD" sqref="C14:D33">
      <formula1>40544</formula1>
      <formula2>73415</formula2>
    </dataValidation>
    <dataValidation type="decimal" operator="greaterThan" allowBlank="1" showInputMessage="1" showErrorMessage="1" errorTitle="Error" error="please enter a dollar value" sqref="I13:I33">
      <formula1>0</formula1>
    </dataValidation>
  </dataValidations>
  <pageMargins left="0.25" right="0.25" top="0.32096354166666669" bottom="0.75" header="0.3" footer="0.3"/>
  <pageSetup paperSize="5" scale="75" fitToHeight="0" orientation="landscape" horizontalDpi="300" verticalDpi="300" r:id="rId1"/>
  <headerFooter>
    <oddHeader>&amp;L&amp;G&amp;C&amp;"Arial,Bold"&amp;18&amp;K000000Claimant-Owned Equipment Operating Costs&amp;R&amp;"Arial,Bold"&amp;K000000Municipal Disaster Recovery Assistance Program</oddHeader>
    <oddFooter>&amp;RPage &amp;P of &amp;N</oddFooter>
  </headerFooter>
  <drawing r:id="rId2"/>
  <legacyDrawingHF r:id="rId3"/>
  <tableParts count="2">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pageSetUpPr fitToPage="1"/>
  </sheetPr>
  <dimension ref="A1:O26"/>
  <sheetViews>
    <sheetView showGridLines="0" zoomScale="90" zoomScaleNormal="90" zoomScalePageLayoutView="80" workbookViewId="0">
      <pane ySplit="7" topLeftCell="A8" activePane="bottomLeft" state="frozen"/>
      <selection activeCell="B1" sqref="B1"/>
      <selection pane="bottomLeft" activeCell="C8" sqref="C8"/>
    </sheetView>
  </sheetViews>
  <sheetFormatPr defaultRowHeight="12.75" x14ac:dyDescent="0.2"/>
  <cols>
    <col min="1" max="1" width="1" style="38" customWidth="1"/>
    <col min="2" max="2" width="4.625" style="38" customWidth="1"/>
    <col min="3" max="3" width="12.25" style="38" customWidth="1"/>
    <col min="4" max="4" width="12.5" style="38" customWidth="1"/>
    <col min="5" max="5" width="20.375" style="38" customWidth="1"/>
    <col min="6" max="6" width="19.625" style="38" customWidth="1"/>
    <col min="7" max="7" width="13.375" style="38" customWidth="1"/>
    <col min="8" max="8" width="11.625" style="38" customWidth="1"/>
    <col min="9" max="9" width="13.75" style="38" customWidth="1"/>
    <col min="10" max="10" width="19.125" style="38" customWidth="1"/>
    <col min="11" max="11" width="27.875" style="38" customWidth="1"/>
    <col min="12" max="12" width="21" style="38" customWidth="1"/>
    <col min="13" max="13" width="21.75" style="38" customWidth="1"/>
    <col min="14" max="14" width="16.625" style="38" customWidth="1"/>
    <col min="15" max="15" width="23" style="44" customWidth="1"/>
    <col min="16" max="16" width="14.625" style="38" customWidth="1"/>
    <col min="17" max="256" width="8" style="38"/>
    <col min="257" max="257" width="1" style="38" customWidth="1"/>
    <col min="258" max="258" width="16.25" style="38" customWidth="1"/>
    <col min="259" max="259" width="18.625" style="38" customWidth="1"/>
    <col min="260" max="260" width="6" style="38" customWidth="1"/>
    <col min="261" max="261" width="15.875" style="38" customWidth="1"/>
    <col min="262" max="262" width="10.375" style="38" customWidth="1"/>
    <col min="263" max="263" width="32.125" style="38" customWidth="1"/>
    <col min="264" max="264" width="13.625" style="38" customWidth="1"/>
    <col min="265" max="265" width="7.125" style="38" customWidth="1"/>
    <col min="266" max="266" width="4.375" style="38" customWidth="1"/>
    <col min="267" max="269" width="9.375" style="38" customWidth="1"/>
    <col min="270" max="512" width="8" style="38"/>
    <col min="513" max="513" width="1" style="38" customWidth="1"/>
    <col min="514" max="514" width="16.25" style="38" customWidth="1"/>
    <col min="515" max="515" width="18.625" style="38" customWidth="1"/>
    <col min="516" max="516" width="6" style="38" customWidth="1"/>
    <col min="517" max="517" width="15.875" style="38" customWidth="1"/>
    <col min="518" max="518" width="10.375" style="38" customWidth="1"/>
    <col min="519" max="519" width="32.125" style="38" customWidth="1"/>
    <col min="520" max="520" width="13.625" style="38" customWidth="1"/>
    <col min="521" max="521" width="7.125" style="38" customWidth="1"/>
    <col min="522" max="522" width="4.375" style="38" customWidth="1"/>
    <col min="523" max="525" width="9.375" style="38" customWidth="1"/>
    <col min="526" max="768" width="8" style="38"/>
    <col min="769" max="769" width="1" style="38" customWidth="1"/>
    <col min="770" max="770" width="16.25" style="38" customWidth="1"/>
    <col min="771" max="771" width="18.625" style="38" customWidth="1"/>
    <col min="772" max="772" width="6" style="38" customWidth="1"/>
    <col min="773" max="773" width="15.875" style="38" customWidth="1"/>
    <col min="774" max="774" width="10.375" style="38" customWidth="1"/>
    <col min="775" max="775" width="32.125" style="38" customWidth="1"/>
    <col min="776" max="776" width="13.625" style="38" customWidth="1"/>
    <col min="777" max="777" width="7.125" style="38" customWidth="1"/>
    <col min="778" max="778" width="4.375" style="38" customWidth="1"/>
    <col min="779" max="781" width="9.375" style="38" customWidth="1"/>
    <col min="782" max="1024" width="9" style="38"/>
    <col min="1025" max="1025" width="1" style="38" customWidth="1"/>
    <col min="1026" max="1026" width="16.25" style="38" customWidth="1"/>
    <col min="1027" max="1027" width="18.625" style="38" customWidth="1"/>
    <col min="1028" max="1028" width="6" style="38" customWidth="1"/>
    <col min="1029" max="1029" width="15.875" style="38" customWidth="1"/>
    <col min="1030" max="1030" width="10.375" style="38" customWidth="1"/>
    <col min="1031" max="1031" width="32.125" style="38" customWidth="1"/>
    <col min="1032" max="1032" width="13.625" style="38" customWidth="1"/>
    <col min="1033" max="1033" width="7.125" style="38" customWidth="1"/>
    <col min="1034" max="1034" width="4.375" style="38" customWidth="1"/>
    <col min="1035" max="1037" width="9.375" style="38" customWidth="1"/>
    <col min="1038" max="1280" width="8" style="38"/>
    <col min="1281" max="1281" width="1" style="38" customWidth="1"/>
    <col min="1282" max="1282" width="16.25" style="38" customWidth="1"/>
    <col min="1283" max="1283" width="18.625" style="38" customWidth="1"/>
    <col min="1284" max="1284" width="6" style="38" customWidth="1"/>
    <col min="1285" max="1285" width="15.875" style="38" customWidth="1"/>
    <col min="1286" max="1286" width="10.375" style="38" customWidth="1"/>
    <col min="1287" max="1287" width="32.125" style="38" customWidth="1"/>
    <col min="1288" max="1288" width="13.625" style="38" customWidth="1"/>
    <col min="1289" max="1289" width="7.125" style="38" customWidth="1"/>
    <col min="1290" max="1290" width="4.375" style="38" customWidth="1"/>
    <col min="1291" max="1293" width="9.375" style="38" customWidth="1"/>
    <col min="1294" max="1536" width="8" style="38"/>
    <col min="1537" max="1537" width="1" style="38" customWidth="1"/>
    <col min="1538" max="1538" width="16.25" style="38" customWidth="1"/>
    <col min="1539" max="1539" width="18.625" style="38" customWidth="1"/>
    <col min="1540" max="1540" width="6" style="38" customWidth="1"/>
    <col min="1541" max="1541" width="15.875" style="38" customWidth="1"/>
    <col min="1542" max="1542" width="10.375" style="38" customWidth="1"/>
    <col min="1543" max="1543" width="32.125" style="38" customWidth="1"/>
    <col min="1544" max="1544" width="13.625" style="38" customWidth="1"/>
    <col min="1545" max="1545" width="7.125" style="38" customWidth="1"/>
    <col min="1546" max="1546" width="4.375" style="38" customWidth="1"/>
    <col min="1547" max="1549" width="9.375" style="38" customWidth="1"/>
    <col min="1550" max="1792" width="8" style="38"/>
    <col min="1793" max="1793" width="1" style="38" customWidth="1"/>
    <col min="1794" max="1794" width="16.25" style="38" customWidth="1"/>
    <col min="1795" max="1795" width="18.625" style="38" customWidth="1"/>
    <col min="1796" max="1796" width="6" style="38" customWidth="1"/>
    <col min="1797" max="1797" width="15.875" style="38" customWidth="1"/>
    <col min="1798" max="1798" width="10.375" style="38" customWidth="1"/>
    <col min="1799" max="1799" width="32.125" style="38" customWidth="1"/>
    <col min="1800" max="1800" width="13.625" style="38" customWidth="1"/>
    <col min="1801" max="1801" width="7.125" style="38" customWidth="1"/>
    <col min="1802" max="1802" width="4.375" style="38" customWidth="1"/>
    <col min="1803" max="1805" width="9.375" style="38" customWidth="1"/>
    <col min="1806" max="2048" width="9" style="38"/>
    <col min="2049" max="2049" width="1" style="38" customWidth="1"/>
    <col min="2050" max="2050" width="16.25" style="38" customWidth="1"/>
    <col min="2051" max="2051" width="18.625" style="38" customWidth="1"/>
    <col min="2052" max="2052" width="6" style="38" customWidth="1"/>
    <col min="2053" max="2053" width="15.875" style="38" customWidth="1"/>
    <col min="2054" max="2054" width="10.375" style="38" customWidth="1"/>
    <col min="2055" max="2055" width="32.125" style="38" customWidth="1"/>
    <col min="2056" max="2056" width="13.625" style="38" customWidth="1"/>
    <col min="2057" max="2057" width="7.125" style="38" customWidth="1"/>
    <col min="2058" max="2058" width="4.375" style="38" customWidth="1"/>
    <col min="2059" max="2061" width="9.375" style="38" customWidth="1"/>
    <col min="2062" max="2304" width="8" style="38"/>
    <col min="2305" max="2305" width="1" style="38" customWidth="1"/>
    <col min="2306" max="2306" width="16.25" style="38" customWidth="1"/>
    <col min="2307" max="2307" width="18.625" style="38" customWidth="1"/>
    <col min="2308" max="2308" width="6" style="38" customWidth="1"/>
    <col min="2309" max="2309" width="15.875" style="38" customWidth="1"/>
    <col min="2310" max="2310" width="10.375" style="38" customWidth="1"/>
    <col min="2311" max="2311" width="32.125" style="38" customWidth="1"/>
    <col min="2312" max="2312" width="13.625" style="38" customWidth="1"/>
    <col min="2313" max="2313" width="7.125" style="38" customWidth="1"/>
    <col min="2314" max="2314" width="4.375" style="38" customWidth="1"/>
    <col min="2315" max="2317" width="9.375" style="38" customWidth="1"/>
    <col min="2318" max="2560" width="8" style="38"/>
    <col min="2561" max="2561" width="1" style="38" customWidth="1"/>
    <col min="2562" max="2562" width="16.25" style="38" customWidth="1"/>
    <col min="2563" max="2563" width="18.625" style="38" customWidth="1"/>
    <col min="2564" max="2564" width="6" style="38" customWidth="1"/>
    <col min="2565" max="2565" width="15.875" style="38" customWidth="1"/>
    <col min="2566" max="2566" width="10.375" style="38" customWidth="1"/>
    <col min="2567" max="2567" width="32.125" style="38" customWidth="1"/>
    <col min="2568" max="2568" width="13.625" style="38" customWidth="1"/>
    <col min="2569" max="2569" width="7.125" style="38" customWidth="1"/>
    <col min="2570" max="2570" width="4.375" style="38" customWidth="1"/>
    <col min="2571" max="2573" width="9.375" style="38" customWidth="1"/>
    <col min="2574" max="2816" width="8" style="38"/>
    <col min="2817" max="2817" width="1" style="38" customWidth="1"/>
    <col min="2818" max="2818" width="16.25" style="38" customWidth="1"/>
    <col min="2819" max="2819" width="18.625" style="38" customWidth="1"/>
    <col min="2820" max="2820" width="6" style="38" customWidth="1"/>
    <col min="2821" max="2821" width="15.875" style="38" customWidth="1"/>
    <col min="2822" max="2822" width="10.375" style="38" customWidth="1"/>
    <col min="2823" max="2823" width="32.125" style="38" customWidth="1"/>
    <col min="2824" max="2824" width="13.625" style="38" customWidth="1"/>
    <col min="2825" max="2825" width="7.125" style="38" customWidth="1"/>
    <col min="2826" max="2826" width="4.375" style="38" customWidth="1"/>
    <col min="2827" max="2829" width="9.375" style="38" customWidth="1"/>
    <col min="2830" max="3072" width="9" style="38"/>
    <col min="3073" max="3073" width="1" style="38" customWidth="1"/>
    <col min="3074" max="3074" width="16.25" style="38" customWidth="1"/>
    <col min="3075" max="3075" width="18.625" style="38" customWidth="1"/>
    <col min="3076" max="3076" width="6" style="38" customWidth="1"/>
    <col min="3077" max="3077" width="15.875" style="38" customWidth="1"/>
    <col min="3078" max="3078" width="10.375" style="38" customWidth="1"/>
    <col min="3079" max="3079" width="32.125" style="38" customWidth="1"/>
    <col min="3080" max="3080" width="13.625" style="38" customWidth="1"/>
    <col min="3081" max="3081" width="7.125" style="38" customWidth="1"/>
    <col min="3082" max="3082" width="4.375" style="38" customWidth="1"/>
    <col min="3083" max="3085" width="9.375" style="38" customWidth="1"/>
    <col min="3086" max="3328" width="8" style="38"/>
    <col min="3329" max="3329" width="1" style="38" customWidth="1"/>
    <col min="3330" max="3330" width="16.25" style="38" customWidth="1"/>
    <col min="3331" max="3331" width="18.625" style="38" customWidth="1"/>
    <col min="3332" max="3332" width="6" style="38" customWidth="1"/>
    <col min="3333" max="3333" width="15.875" style="38" customWidth="1"/>
    <col min="3334" max="3334" width="10.375" style="38" customWidth="1"/>
    <col min="3335" max="3335" width="32.125" style="38" customWidth="1"/>
    <col min="3336" max="3336" width="13.625" style="38" customWidth="1"/>
    <col min="3337" max="3337" width="7.125" style="38" customWidth="1"/>
    <col min="3338" max="3338" width="4.375" style="38" customWidth="1"/>
    <col min="3339" max="3341" width="9.375" style="38" customWidth="1"/>
    <col min="3342" max="3584" width="8" style="38"/>
    <col min="3585" max="3585" width="1" style="38" customWidth="1"/>
    <col min="3586" max="3586" width="16.25" style="38" customWidth="1"/>
    <col min="3587" max="3587" width="18.625" style="38" customWidth="1"/>
    <col min="3588" max="3588" width="6" style="38" customWidth="1"/>
    <col min="3589" max="3589" width="15.875" style="38" customWidth="1"/>
    <col min="3590" max="3590" width="10.375" style="38" customWidth="1"/>
    <col min="3591" max="3591" width="32.125" style="38" customWidth="1"/>
    <col min="3592" max="3592" width="13.625" style="38" customWidth="1"/>
    <col min="3593" max="3593" width="7.125" style="38" customWidth="1"/>
    <col min="3594" max="3594" width="4.375" style="38" customWidth="1"/>
    <col min="3595" max="3597" width="9.375" style="38" customWidth="1"/>
    <col min="3598" max="3840" width="8" style="38"/>
    <col min="3841" max="3841" width="1" style="38" customWidth="1"/>
    <col min="3842" max="3842" width="16.25" style="38" customWidth="1"/>
    <col min="3843" max="3843" width="18.625" style="38" customWidth="1"/>
    <col min="3844" max="3844" width="6" style="38" customWidth="1"/>
    <col min="3845" max="3845" width="15.875" style="38" customWidth="1"/>
    <col min="3846" max="3846" width="10.375" style="38" customWidth="1"/>
    <col min="3847" max="3847" width="32.125" style="38" customWidth="1"/>
    <col min="3848" max="3848" width="13.625" style="38" customWidth="1"/>
    <col min="3849" max="3849" width="7.125" style="38" customWidth="1"/>
    <col min="3850" max="3850" width="4.375" style="38" customWidth="1"/>
    <col min="3851" max="3853" width="9.375" style="38" customWidth="1"/>
    <col min="3854" max="4096" width="9" style="38"/>
    <col min="4097" max="4097" width="1" style="38" customWidth="1"/>
    <col min="4098" max="4098" width="16.25" style="38" customWidth="1"/>
    <col min="4099" max="4099" width="18.625" style="38" customWidth="1"/>
    <col min="4100" max="4100" width="6" style="38" customWidth="1"/>
    <col min="4101" max="4101" width="15.875" style="38" customWidth="1"/>
    <col min="4102" max="4102" width="10.375" style="38" customWidth="1"/>
    <col min="4103" max="4103" width="32.125" style="38" customWidth="1"/>
    <col min="4104" max="4104" width="13.625" style="38" customWidth="1"/>
    <col min="4105" max="4105" width="7.125" style="38" customWidth="1"/>
    <col min="4106" max="4106" width="4.375" style="38" customWidth="1"/>
    <col min="4107" max="4109" width="9.375" style="38" customWidth="1"/>
    <col min="4110" max="4352" width="8" style="38"/>
    <col min="4353" max="4353" width="1" style="38" customWidth="1"/>
    <col min="4354" max="4354" width="16.25" style="38" customWidth="1"/>
    <col min="4355" max="4355" width="18.625" style="38" customWidth="1"/>
    <col min="4356" max="4356" width="6" style="38" customWidth="1"/>
    <col min="4357" max="4357" width="15.875" style="38" customWidth="1"/>
    <col min="4358" max="4358" width="10.375" style="38" customWidth="1"/>
    <col min="4359" max="4359" width="32.125" style="38" customWidth="1"/>
    <col min="4360" max="4360" width="13.625" style="38" customWidth="1"/>
    <col min="4361" max="4361" width="7.125" style="38" customWidth="1"/>
    <col min="4362" max="4362" width="4.375" style="38" customWidth="1"/>
    <col min="4363" max="4365" width="9.375" style="38" customWidth="1"/>
    <col min="4366" max="4608" width="8" style="38"/>
    <col min="4609" max="4609" width="1" style="38" customWidth="1"/>
    <col min="4610" max="4610" width="16.25" style="38" customWidth="1"/>
    <col min="4611" max="4611" width="18.625" style="38" customWidth="1"/>
    <col min="4612" max="4612" width="6" style="38" customWidth="1"/>
    <col min="4613" max="4613" width="15.875" style="38" customWidth="1"/>
    <col min="4614" max="4614" width="10.375" style="38" customWidth="1"/>
    <col min="4615" max="4615" width="32.125" style="38" customWidth="1"/>
    <col min="4616" max="4616" width="13.625" style="38" customWidth="1"/>
    <col min="4617" max="4617" width="7.125" style="38" customWidth="1"/>
    <col min="4618" max="4618" width="4.375" style="38" customWidth="1"/>
    <col min="4619" max="4621" width="9.375" style="38" customWidth="1"/>
    <col min="4622" max="4864" width="8" style="38"/>
    <col min="4865" max="4865" width="1" style="38" customWidth="1"/>
    <col min="4866" max="4866" width="16.25" style="38" customWidth="1"/>
    <col min="4867" max="4867" width="18.625" style="38" customWidth="1"/>
    <col min="4868" max="4868" width="6" style="38" customWidth="1"/>
    <col min="4869" max="4869" width="15.875" style="38" customWidth="1"/>
    <col min="4870" max="4870" width="10.375" style="38" customWidth="1"/>
    <col min="4871" max="4871" width="32.125" style="38" customWidth="1"/>
    <col min="4872" max="4872" width="13.625" style="38" customWidth="1"/>
    <col min="4873" max="4873" width="7.125" style="38" customWidth="1"/>
    <col min="4874" max="4874" width="4.375" style="38" customWidth="1"/>
    <col min="4875" max="4877" width="9.375" style="38" customWidth="1"/>
    <col min="4878" max="5120" width="9" style="38"/>
    <col min="5121" max="5121" width="1" style="38" customWidth="1"/>
    <col min="5122" max="5122" width="16.25" style="38" customWidth="1"/>
    <col min="5123" max="5123" width="18.625" style="38" customWidth="1"/>
    <col min="5124" max="5124" width="6" style="38" customWidth="1"/>
    <col min="5125" max="5125" width="15.875" style="38" customWidth="1"/>
    <col min="5126" max="5126" width="10.375" style="38" customWidth="1"/>
    <col min="5127" max="5127" width="32.125" style="38" customWidth="1"/>
    <col min="5128" max="5128" width="13.625" style="38" customWidth="1"/>
    <col min="5129" max="5129" width="7.125" style="38" customWidth="1"/>
    <col min="5130" max="5130" width="4.375" style="38" customWidth="1"/>
    <col min="5131" max="5133" width="9.375" style="38" customWidth="1"/>
    <col min="5134" max="5376" width="8" style="38"/>
    <col min="5377" max="5377" width="1" style="38" customWidth="1"/>
    <col min="5378" max="5378" width="16.25" style="38" customWidth="1"/>
    <col min="5379" max="5379" width="18.625" style="38" customWidth="1"/>
    <col min="5380" max="5380" width="6" style="38" customWidth="1"/>
    <col min="5381" max="5381" width="15.875" style="38" customWidth="1"/>
    <col min="5382" max="5382" width="10.375" style="38" customWidth="1"/>
    <col min="5383" max="5383" width="32.125" style="38" customWidth="1"/>
    <col min="5384" max="5384" width="13.625" style="38" customWidth="1"/>
    <col min="5385" max="5385" width="7.125" style="38" customWidth="1"/>
    <col min="5386" max="5386" width="4.375" style="38" customWidth="1"/>
    <col min="5387" max="5389" width="9.375" style="38" customWidth="1"/>
    <col min="5390" max="5632" width="8" style="38"/>
    <col min="5633" max="5633" width="1" style="38" customWidth="1"/>
    <col min="5634" max="5634" width="16.25" style="38" customWidth="1"/>
    <col min="5635" max="5635" width="18.625" style="38" customWidth="1"/>
    <col min="5636" max="5636" width="6" style="38" customWidth="1"/>
    <col min="5637" max="5637" width="15.875" style="38" customWidth="1"/>
    <col min="5638" max="5638" width="10.375" style="38" customWidth="1"/>
    <col min="5639" max="5639" width="32.125" style="38" customWidth="1"/>
    <col min="5640" max="5640" width="13.625" style="38" customWidth="1"/>
    <col min="5641" max="5641" width="7.125" style="38" customWidth="1"/>
    <col min="5642" max="5642" width="4.375" style="38" customWidth="1"/>
    <col min="5643" max="5645" width="9.375" style="38" customWidth="1"/>
    <col min="5646" max="5888" width="8" style="38"/>
    <col min="5889" max="5889" width="1" style="38" customWidth="1"/>
    <col min="5890" max="5890" width="16.25" style="38" customWidth="1"/>
    <col min="5891" max="5891" width="18.625" style="38" customWidth="1"/>
    <col min="5892" max="5892" width="6" style="38" customWidth="1"/>
    <col min="5893" max="5893" width="15.875" style="38" customWidth="1"/>
    <col min="5894" max="5894" width="10.375" style="38" customWidth="1"/>
    <col min="5895" max="5895" width="32.125" style="38" customWidth="1"/>
    <col min="5896" max="5896" width="13.625" style="38" customWidth="1"/>
    <col min="5897" max="5897" width="7.125" style="38" customWidth="1"/>
    <col min="5898" max="5898" width="4.375" style="38" customWidth="1"/>
    <col min="5899" max="5901" width="9.375" style="38" customWidth="1"/>
    <col min="5902" max="6144" width="9" style="38"/>
    <col min="6145" max="6145" width="1" style="38" customWidth="1"/>
    <col min="6146" max="6146" width="16.25" style="38" customWidth="1"/>
    <col min="6147" max="6147" width="18.625" style="38" customWidth="1"/>
    <col min="6148" max="6148" width="6" style="38" customWidth="1"/>
    <col min="6149" max="6149" width="15.875" style="38" customWidth="1"/>
    <col min="6150" max="6150" width="10.375" style="38" customWidth="1"/>
    <col min="6151" max="6151" width="32.125" style="38" customWidth="1"/>
    <col min="6152" max="6152" width="13.625" style="38" customWidth="1"/>
    <col min="6153" max="6153" width="7.125" style="38" customWidth="1"/>
    <col min="6154" max="6154" width="4.375" style="38" customWidth="1"/>
    <col min="6155" max="6157" width="9.375" style="38" customWidth="1"/>
    <col min="6158" max="6400" width="8" style="38"/>
    <col min="6401" max="6401" width="1" style="38" customWidth="1"/>
    <col min="6402" max="6402" width="16.25" style="38" customWidth="1"/>
    <col min="6403" max="6403" width="18.625" style="38" customWidth="1"/>
    <col min="6404" max="6404" width="6" style="38" customWidth="1"/>
    <col min="6405" max="6405" width="15.875" style="38" customWidth="1"/>
    <col min="6406" max="6406" width="10.375" style="38" customWidth="1"/>
    <col min="6407" max="6407" width="32.125" style="38" customWidth="1"/>
    <col min="6408" max="6408" width="13.625" style="38" customWidth="1"/>
    <col min="6409" max="6409" width="7.125" style="38" customWidth="1"/>
    <col min="6410" max="6410" width="4.375" style="38" customWidth="1"/>
    <col min="6411" max="6413" width="9.375" style="38" customWidth="1"/>
    <col min="6414" max="6656" width="8" style="38"/>
    <col min="6657" max="6657" width="1" style="38" customWidth="1"/>
    <col min="6658" max="6658" width="16.25" style="38" customWidth="1"/>
    <col min="6659" max="6659" width="18.625" style="38" customWidth="1"/>
    <col min="6660" max="6660" width="6" style="38" customWidth="1"/>
    <col min="6661" max="6661" width="15.875" style="38" customWidth="1"/>
    <col min="6662" max="6662" width="10.375" style="38" customWidth="1"/>
    <col min="6663" max="6663" width="32.125" style="38" customWidth="1"/>
    <col min="6664" max="6664" width="13.625" style="38" customWidth="1"/>
    <col min="6665" max="6665" width="7.125" style="38" customWidth="1"/>
    <col min="6666" max="6666" width="4.375" style="38" customWidth="1"/>
    <col min="6667" max="6669" width="9.375" style="38" customWidth="1"/>
    <col min="6670" max="6912" width="8" style="38"/>
    <col min="6913" max="6913" width="1" style="38" customWidth="1"/>
    <col min="6914" max="6914" width="16.25" style="38" customWidth="1"/>
    <col min="6915" max="6915" width="18.625" style="38" customWidth="1"/>
    <col min="6916" max="6916" width="6" style="38" customWidth="1"/>
    <col min="6917" max="6917" width="15.875" style="38" customWidth="1"/>
    <col min="6918" max="6918" width="10.375" style="38" customWidth="1"/>
    <col min="6919" max="6919" width="32.125" style="38" customWidth="1"/>
    <col min="6920" max="6920" width="13.625" style="38" customWidth="1"/>
    <col min="6921" max="6921" width="7.125" style="38" customWidth="1"/>
    <col min="6922" max="6922" width="4.375" style="38" customWidth="1"/>
    <col min="6923" max="6925" width="9.375" style="38" customWidth="1"/>
    <col min="6926" max="7168" width="9" style="38"/>
    <col min="7169" max="7169" width="1" style="38" customWidth="1"/>
    <col min="7170" max="7170" width="16.25" style="38" customWidth="1"/>
    <col min="7171" max="7171" width="18.625" style="38" customWidth="1"/>
    <col min="7172" max="7172" width="6" style="38" customWidth="1"/>
    <col min="7173" max="7173" width="15.875" style="38" customWidth="1"/>
    <col min="7174" max="7174" width="10.375" style="38" customWidth="1"/>
    <col min="7175" max="7175" width="32.125" style="38" customWidth="1"/>
    <col min="7176" max="7176" width="13.625" style="38" customWidth="1"/>
    <col min="7177" max="7177" width="7.125" style="38" customWidth="1"/>
    <col min="7178" max="7178" width="4.375" style="38" customWidth="1"/>
    <col min="7179" max="7181" width="9.375" style="38" customWidth="1"/>
    <col min="7182" max="7424" width="8" style="38"/>
    <col min="7425" max="7425" width="1" style="38" customWidth="1"/>
    <col min="7426" max="7426" width="16.25" style="38" customWidth="1"/>
    <col min="7427" max="7427" width="18.625" style="38" customWidth="1"/>
    <col min="7428" max="7428" width="6" style="38" customWidth="1"/>
    <col min="7429" max="7429" width="15.875" style="38" customWidth="1"/>
    <col min="7430" max="7430" width="10.375" style="38" customWidth="1"/>
    <col min="7431" max="7431" width="32.125" style="38" customWidth="1"/>
    <col min="7432" max="7432" width="13.625" style="38" customWidth="1"/>
    <col min="7433" max="7433" width="7.125" style="38" customWidth="1"/>
    <col min="7434" max="7434" width="4.375" style="38" customWidth="1"/>
    <col min="7435" max="7437" width="9.375" style="38" customWidth="1"/>
    <col min="7438" max="7680" width="8" style="38"/>
    <col min="7681" max="7681" width="1" style="38" customWidth="1"/>
    <col min="7682" max="7682" width="16.25" style="38" customWidth="1"/>
    <col min="7683" max="7683" width="18.625" style="38" customWidth="1"/>
    <col min="7684" max="7684" width="6" style="38" customWidth="1"/>
    <col min="7685" max="7685" width="15.875" style="38" customWidth="1"/>
    <col min="7686" max="7686" width="10.375" style="38" customWidth="1"/>
    <col min="7687" max="7687" width="32.125" style="38" customWidth="1"/>
    <col min="7688" max="7688" width="13.625" style="38" customWidth="1"/>
    <col min="7689" max="7689" width="7.125" style="38" customWidth="1"/>
    <col min="7690" max="7690" width="4.375" style="38" customWidth="1"/>
    <col min="7691" max="7693" width="9.375" style="38" customWidth="1"/>
    <col min="7694" max="7936" width="8" style="38"/>
    <col min="7937" max="7937" width="1" style="38" customWidth="1"/>
    <col min="7938" max="7938" width="16.25" style="38" customWidth="1"/>
    <col min="7939" max="7939" width="18.625" style="38" customWidth="1"/>
    <col min="7940" max="7940" width="6" style="38" customWidth="1"/>
    <col min="7941" max="7941" width="15.875" style="38" customWidth="1"/>
    <col min="7942" max="7942" width="10.375" style="38" customWidth="1"/>
    <col min="7943" max="7943" width="32.125" style="38" customWidth="1"/>
    <col min="7944" max="7944" width="13.625" style="38" customWidth="1"/>
    <col min="7945" max="7945" width="7.125" style="38" customWidth="1"/>
    <col min="7946" max="7946" width="4.375" style="38" customWidth="1"/>
    <col min="7947" max="7949" width="9.375" style="38" customWidth="1"/>
    <col min="7950" max="8192" width="9" style="38"/>
    <col min="8193" max="8193" width="1" style="38" customWidth="1"/>
    <col min="8194" max="8194" width="16.25" style="38" customWidth="1"/>
    <col min="8195" max="8195" width="18.625" style="38" customWidth="1"/>
    <col min="8196" max="8196" width="6" style="38" customWidth="1"/>
    <col min="8197" max="8197" width="15.875" style="38" customWidth="1"/>
    <col min="8198" max="8198" width="10.375" style="38" customWidth="1"/>
    <col min="8199" max="8199" width="32.125" style="38" customWidth="1"/>
    <col min="8200" max="8200" width="13.625" style="38" customWidth="1"/>
    <col min="8201" max="8201" width="7.125" style="38" customWidth="1"/>
    <col min="8202" max="8202" width="4.375" style="38" customWidth="1"/>
    <col min="8203" max="8205" width="9.375" style="38" customWidth="1"/>
    <col min="8206" max="8448" width="8" style="38"/>
    <col min="8449" max="8449" width="1" style="38" customWidth="1"/>
    <col min="8450" max="8450" width="16.25" style="38" customWidth="1"/>
    <col min="8451" max="8451" width="18.625" style="38" customWidth="1"/>
    <col min="8452" max="8452" width="6" style="38" customWidth="1"/>
    <col min="8453" max="8453" width="15.875" style="38" customWidth="1"/>
    <col min="8454" max="8454" width="10.375" style="38" customWidth="1"/>
    <col min="8455" max="8455" width="32.125" style="38" customWidth="1"/>
    <col min="8456" max="8456" width="13.625" style="38" customWidth="1"/>
    <col min="8457" max="8457" width="7.125" style="38" customWidth="1"/>
    <col min="8458" max="8458" width="4.375" style="38" customWidth="1"/>
    <col min="8459" max="8461" width="9.375" style="38" customWidth="1"/>
    <col min="8462" max="8704" width="8" style="38"/>
    <col min="8705" max="8705" width="1" style="38" customWidth="1"/>
    <col min="8706" max="8706" width="16.25" style="38" customWidth="1"/>
    <col min="8707" max="8707" width="18.625" style="38" customWidth="1"/>
    <col min="8708" max="8708" width="6" style="38" customWidth="1"/>
    <col min="8709" max="8709" width="15.875" style="38" customWidth="1"/>
    <col min="8710" max="8710" width="10.375" style="38" customWidth="1"/>
    <col min="8711" max="8711" width="32.125" style="38" customWidth="1"/>
    <col min="8712" max="8712" width="13.625" style="38" customWidth="1"/>
    <col min="8713" max="8713" width="7.125" style="38" customWidth="1"/>
    <col min="8714" max="8714" width="4.375" style="38" customWidth="1"/>
    <col min="8715" max="8717" width="9.375" style="38" customWidth="1"/>
    <col min="8718" max="8960" width="8" style="38"/>
    <col min="8961" max="8961" width="1" style="38" customWidth="1"/>
    <col min="8962" max="8962" width="16.25" style="38" customWidth="1"/>
    <col min="8963" max="8963" width="18.625" style="38" customWidth="1"/>
    <col min="8964" max="8964" width="6" style="38" customWidth="1"/>
    <col min="8965" max="8965" width="15.875" style="38" customWidth="1"/>
    <col min="8966" max="8966" width="10.375" style="38" customWidth="1"/>
    <col min="8967" max="8967" width="32.125" style="38" customWidth="1"/>
    <col min="8968" max="8968" width="13.625" style="38" customWidth="1"/>
    <col min="8969" max="8969" width="7.125" style="38" customWidth="1"/>
    <col min="8970" max="8970" width="4.375" style="38" customWidth="1"/>
    <col min="8971" max="8973" width="9.375" style="38" customWidth="1"/>
    <col min="8974" max="9216" width="9" style="38"/>
    <col min="9217" max="9217" width="1" style="38" customWidth="1"/>
    <col min="9218" max="9218" width="16.25" style="38" customWidth="1"/>
    <col min="9219" max="9219" width="18.625" style="38" customWidth="1"/>
    <col min="9220" max="9220" width="6" style="38" customWidth="1"/>
    <col min="9221" max="9221" width="15.875" style="38" customWidth="1"/>
    <col min="9222" max="9222" width="10.375" style="38" customWidth="1"/>
    <col min="9223" max="9223" width="32.125" style="38" customWidth="1"/>
    <col min="9224" max="9224" width="13.625" style="38" customWidth="1"/>
    <col min="9225" max="9225" width="7.125" style="38" customWidth="1"/>
    <col min="9226" max="9226" width="4.375" style="38" customWidth="1"/>
    <col min="9227" max="9229" width="9.375" style="38" customWidth="1"/>
    <col min="9230" max="9472" width="8" style="38"/>
    <col min="9473" max="9473" width="1" style="38" customWidth="1"/>
    <col min="9474" max="9474" width="16.25" style="38" customWidth="1"/>
    <col min="9475" max="9475" width="18.625" style="38" customWidth="1"/>
    <col min="9476" max="9476" width="6" style="38" customWidth="1"/>
    <col min="9477" max="9477" width="15.875" style="38" customWidth="1"/>
    <col min="9478" max="9478" width="10.375" style="38" customWidth="1"/>
    <col min="9479" max="9479" width="32.125" style="38" customWidth="1"/>
    <col min="9480" max="9480" width="13.625" style="38" customWidth="1"/>
    <col min="9481" max="9481" width="7.125" style="38" customWidth="1"/>
    <col min="9482" max="9482" width="4.375" style="38" customWidth="1"/>
    <col min="9483" max="9485" width="9.375" style="38" customWidth="1"/>
    <col min="9486" max="9728" width="8" style="38"/>
    <col min="9729" max="9729" width="1" style="38" customWidth="1"/>
    <col min="9730" max="9730" width="16.25" style="38" customWidth="1"/>
    <col min="9731" max="9731" width="18.625" style="38" customWidth="1"/>
    <col min="9732" max="9732" width="6" style="38" customWidth="1"/>
    <col min="9733" max="9733" width="15.875" style="38" customWidth="1"/>
    <col min="9734" max="9734" width="10.375" style="38" customWidth="1"/>
    <col min="9735" max="9735" width="32.125" style="38" customWidth="1"/>
    <col min="9736" max="9736" width="13.625" style="38" customWidth="1"/>
    <col min="9737" max="9737" width="7.125" style="38" customWidth="1"/>
    <col min="9738" max="9738" width="4.375" style="38" customWidth="1"/>
    <col min="9739" max="9741" width="9.375" style="38" customWidth="1"/>
    <col min="9742" max="9984" width="8" style="38"/>
    <col min="9985" max="9985" width="1" style="38" customWidth="1"/>
    <col min="9986" max="9986" width="16.25" style="38" customWidth="1"/>
    <col min="9987" max="9987" width="18.625" style="38" customWidth="1"/>
    <col min="9988" max="9988" width="6" style="38" customWidth="1"/>
    <col min="9989" max="9989" width="15.875" style="38" customWidth="1"/>
    <col min="9990" max="9990" width="10.375" style="38" customWidth="1"/>
    <col min="9991" max="9991" width="32.125" style="38" customWidth="1"/>
    <col min="9992" max="9992" width="13.625" style="38" customWidth="1"/>
    <col min="9993" max="9993" width="7.125" style="38" customWidth="1"/>
    <col min="9994" max="9994" width="4.375" style="38" customWidth="1"/>
    <col min="9995" max="9997" width="9.375" style="38" customWidth="1"/>
    <col min="9998" max="10240" width="9" style="38"/>
    <col min="10241" max="10241" width="1" style="38" customWidth="1"/>
    <col min="10242" max="10242" width="16.25" style="38" customWidth="1"/>
    <col min="10243" max="10243" width="18.625" style="38" customWidth="1"/>
    <col min="10244" max="10244" width="6" style="38" customWidth="1"/>
    <col min="10245" max="10245" width="15.875" style="38" customWidth="1"/>
    <col min="10246" max="10246" width="10.375" style="38" customWidth="1"/>
    <col min="10247" max="10247" width="32.125" style="38" customWidth="1"/>
    <col min="10248" max="10248" width="13.625" style="38" customWidth="1"/>
    <col min="10249" max="10249" width="7.125" style="38" customWidth="1"/>
    <col min="10250" max="10250" width="4.375" style="38" customWidth="1"/>
    <col min="10251" max="10253" width="9.375" style="38" customWidth="1"/>
    <col min="10254" max="10496" width="8" style="38"/>
    <col min="10497" max="10497" width="1" style="38" customWidth="1"/>
    <col min="10498" max="10498" width="16.25" style="38" customWidth="1"/>
    <col min="10499" max="10499" width="18.625" style="38" customWidth="1"/>
    <col min="10500" max="10500" width="6" style="38" customWidth="1"/>
    <col min="10501" max="10501" width="15.875" style="38" customWidth="1"/>
    <col min="10502" max="10502" width="10.375" style="38" customWidth="1"/>
    <col min="10503" max="10503" width="32.125" style="38" customWidth="1"/>
    <col min="10504" max="10504" width="13.625" style="38" customWidth="1"/>
    <col min="10505" max="10505" width="7.125" style="38" customWidth="1"/>
    <col min="10506" max="10506" width="4.375" style="38" customWidth="1"/>
    <col min="10507" max="10509" width="9.375" style="38" customWidth="1"/>
    <col min="10510" max="10752" width="8" style="38"/>
    <col min="10753" max="10753" width="1" style="38" customWidth="1"/>
    <col min="10754" max="10754" width="16.25" style="38" customWidth="1"/>
    <col min="10755" max="10755" width="18.625" style="38" customWidth="1"/>
    <col min="10756" max="10756" width="6" style="38" customWidth="1"/>
    <col min="10757" max="10757" width="15.875" style="38" customWidth="1"/>
    <col min="10758" max="10758" width="10.375" style="38" customWidth="1"/>
    <col min="10759" max="10759" width="32.125" style="38" customWidth="1"/>
    <col min="10760" max="10760" width="13.625" style="38" customWidth="1"/>
    <col min="10761" max="10761" width="7.125" style="38" customWidth="1"/>
    <col min="10762" max="10762" width="4.375" style="38" customWidth="1"/>
    <col min="10763" max="10765" width="9.375" style="38" customWidth="1"/>
    <col min="10766" max="11008" width="8" style="38"/>
    <col min="11009" max="11009" width="1" style="38" customWidth="1"/>
    <col min="11010" max="11010" width="16.25" style="38" customWidth="1"/>
    <col min="11011" max="11011" width="18.625" style="38" customWidth="1"/>
    <col min="11012" max="11012" width="6" style="38" customWidth="1"/>
    <col min="11013" max="11013" width="15.875" style="38" customWidth="1"/>
    <col min="11014" max="11014" width="10.375" style="38" customWidth="1"/>
    <col min="11015" max="11015" width="32.125" style="38" customWidth="1"/>
    <col min="11016" max="11016" width="13.625" style="38" customWidth="1"/>
    <col min="11017" max="11017" width="7.125" style="38" customWidth="1"/>
    <col min="11018" max="11018" width="4.375" style="38" customWidth="1"/>
    <col min="11019" max="11021" width="9.375" style="38" customWidth="1"/>
    <col min="11022" max="11264" width="9" style="38"/>
    <col min="11265" max="11265" width="1" style="38" customWidth="1"/>
    <col min="11266" max="11266" width="16.25" style="38" customWidth="1"/>
    <col min="11267" max="11267" width="18.625" style="38" customWidth="1"/>
    <col min="11268" max="11268" width="6" style="38" customWidth="1"/>
    <col min="11269" max="11269" width="15.875" style="38" customWidth="1"/>
    <col min="11270" max="11270" width="10.375" style="38" customWidth="1"/>
    <col min="11271" max="11271" width="32.125" style="38" customWidth="1"/>
    <col min="11272" max="11272" width="13.625" style="38" customWidth="1"/>
    <col min="11273" max="11273" width="7.125" style="38" customWidth="1"/>
    <col min="11274" max="11274" width="4.375" style="38" customWidth="1"/>
    <col min="11275" max="11277" width="9.375" style="38" customWidth="1"/>
    <col min="11278" max="11520" width="8" style="38"/>
    <col min="11521" max="11521" width="1" style="38" customWidth="1"/>
    <col min="11522" max="11522" width="16.25" style="38" customWidth="1"/>
    <col min="11523" max="11523" width="18.625" style="38" customWidth="1"/>
    <col min="11524" max="11524" width="6" style="38" customWidth="1"/>
    <col min="11525" max="11525" width="15.875" style="38" customWidth="1"/>
    <col min="11526" max="11526" width="10.375" style="38" customWidth="1"/>
    <col min="11527" max="11527" width="32.125" style="38" customWidth="1"/>
    <col min="11528" max="11528" width="13.625" style="38" customWidth="1"/>
    <col min="11529" max="11529" width="7.125" style="38" customWidth="1"/>
    <col min="11530" max="11530" width="4.375" style="38" customWidth="1"/>
    <col min="11531" max="11533" width="9.375" style="38" customWidth="1"/>
    <col min="11534" max="11776" width="8" style="38"/>
    <col min="11777" max="11777" width="1" style="38" customWidth="1"/>
    <col min="11778" max="11778" width="16.25" style="38" customWidth="1"/>
    <col min="11779" max="11779" width="18.625" style="38" customWidth="1"/>
    <col min="11780" max="11780" width="6" style="38" customWidth="1"/>
    <col min="11781" max="11781" width="15.875" style="38" customWidth="1"/>
    <col min="11782" max="11782" width="10.375" style="38" customWidth="1"/>
    <col min="11783" max="11783" width="32.125" style="38" customWidth="1"/>
    <col min="11784" max="11784" width="13.625" style="38" customWidth="1"/>
    <col min="11785" max="11785" width="7.125" style="38" customWidth="1"/>
    <col min="11786" max="11786" width="4.375" style="38" customWidth="1"/>
    <col min="11787" max="11789" width="9.375" style="38" customWidth="1"/>
    <col min="11790" max="12032" width="8" style="38"/>
    <col min="12033" max="12033" width="1" style="38" customWidth="1"/>
    <col min="12034" max="12034" width="16.25" style="38" customWidth="1"/>
    <col min="12035" max="12035" width="18.625" style="38" customWidth="1"/>
    <col min="12036" max="12036" width="6" style="38" customWidth="1"/>
    <col min="12037" max="12037" width="15.875" style="38" customWidth="1"/>
    <col min="12038" max="12038" width="10.375" style="38" customWidth="1"/>
    <col min="12039" max="12039" width="32.125" style="38" customWidth="1"/>
    <col min="12040" max="12040" width="13.625" style="38" customWidth="1"/>
    <col min="12041" max="12041" width="7.125" style="38" customWidth="1"/>
    <col min="12042" max="12042" width="4.375" style="38" customWidth="1"/>
    <col min="12043" max="12045" width="9.375" style="38" customWidth="1"/>
    <col min="12046" max="12288" width="9" style="38"/>
    <col min="12289" max="12289" width="1" style="38" customWidth="1"/>
    <col min="12290" max="12290" width="16.25" style="38" customWidth="1"/>
    <col min="12291" max="12291" width="18.625" style="38" customWidth="1"/>
    <col min="12292" max="12292" width="6" style="38" customWidth="1"/>
    <col min="12293" max="12293" width="15.875" style="38" customWidth="1"/>
    <col min="12294" max="12294" width="10.375" style="38" customWidth="1"/>
    <col min="12295" max="12295" width="32.125" style="38" customWidth="1"/>
    <col min="12296" max="12296" width="13.625" style="38" customWidth="1"/>
    <col min="12297" max="12297" width="7.125" style="38" customWidth="1"/>
    <col min="12298" max="12298" width="4.375" style="38" customWidth="1"/>
    <col min="12299" max="12301" width="9.375" style="38" customWidth="1"/>
    <col min="12302" max="12544" width="8" style="38"/>
    <col min="12545" max="12545" width="1" style="38" customWidth="1"/>
    <col min="12546" max="12546" width="16.25" style="38" customWidth="1"/>
    <col min="12547" max="12547" width="18.625" style="38" customWidth="1"/>
    <col min="12548" max="12548" width="6" style="38" customWidth="1"/>
    <col min="12549" max="12549" width="15.875" style="38" customWidth="1"/>
    <col min="12550" max="12550" width="10.375" style="38" customWidth="1"/>
    <col min="12551" max="12551" width="32.125" style="38" customWidth="1"/>
    <col min="12552" max="12552" width="13.625" style="38" customWidth="1"/>
    <col min="12553" max="12553" width="7.125" style="38" customWidth="1"/>
    <col min="12554" max="12554" width="4.375" style="38" customWidth="1"/>
    <col min="12555" max="12557" width="9.375" style="38" customWidth="1"/>
    <col min="12558" max="12800" width="8" style="38"/>
    <col min="12801" max="12801" width="1" style="38" customWidth="1"/>
    <col min="12802" max="12802" width="16.25" style="38" customWidth="1"/>
    <col min="12803" max="12803" width="18.625" style="38" customWidth="1"/>
    <col min="12804" max="12804" width="6" style="38" customWidth="1"/>
    <col min="12805" max="12805" width="15.875" style="38" customWidth="1"/>
    <col min="12806" max="12806" width="10.375" style="38" customWidth="1"/>
    <col min="12807" max="12807" width="32.125" style="38" customWidth="1"/>
    <col min="12808" max="12808" width="13.625" style="38" customWidth="1"/>
    <col min="12809" max="12809" width="7.125" style="38" customWidth="1"/>
    <col min="12810" max="12810" width="4.375" style="38" customWidth="1"/>
    <col min="12811" max="12813" width="9.375" style="38" customWidth="1"/>
    <col min="12814" max="13056" width="8" style="38"/>
    <col min="13057" max="13057" width="1" style="38" customWidth="1"/>
    <col min="13058" max="13058" width="16.25" style="38" customWidth="1"/>
    <col min="13059" max="13059" width="18.625" style="38" customWidth="1"/>
    <col min="13060" max="13060" width="6" style="38" customWidth="1"/>
    <col min="13061" max="13061" width="15.875" style="38" customWidth="1"/>
    <col min="13062" max="13062" width="10.375" style="38" customWidth="1"/>
    <col min="13063" max="13063" width="32.125" style="38" customWidth="1"/>
    <col min="13064" max="13064" width="13.625" style="38" customWidth="1"/>
    <col min="13065" max="13065" width="7.125" style="38" customWidth="1"/>
    <col min="13066" max="13066" width="4.375" style="38" customWidth="1"/>
    <col min="13067" max="13069" width="9.375" style="38" customWidth="1"/>
    <col min="13070" max="13312" width="9" style="38"/>
    <col min="13313" max="13313" width="1" style="38" customWidth="1"/>
    <col min="13314" max="13314" width="16.25" style="38" customWidth="1"/>
    <col min="13315" max="13315" width="18.625" style="38" customWidth="1"/>
    <col min="13316" max="13316" width="6" style="38" customWidth="1"/>
    <col min="13317" max="13317" width="15.875" style="38" customWidth="1"/>
    <col min="13318" max="13318" width="10.375" style="38" customWidth="1"/>
    <col min="13319" max="13319" width="32.125" style="38" customWidth="1"/>
    <col min="13320" max="13320" width="13.625" style="38" customWidth="1"/>
    <col min="13321" max="13321" width="7.125" style="38" customWidth="1"/>
    <col min="13322" max="13322" width="4.375" style="38" customWidth="1"/>
    <col min="13323" max="13325" width="9.375" style="38" customWidth="1"/>
    <col min="13326" max="13568" width="8" style="38"/>
    <col min="13569" max="13569" width="1" style="38" customWidth="1"/>
    <col min="13570" max="13570" width="16.25" style="38" customWidth="1"/>
    <col min="13571" max="13571" width="18.625" style="38" customWidth="1"/>
    <col min="13572" max="13572" width="6" style="38" customWidth="1"/>
    <col min="13573" max="13573" width="15.875" style="38" customWidth="1"/>
    <col min="13574" max="13574" width="10.375" style="38" customWidth="1"/>
    <col min="13575" max="13575" width="32.125" style="38" customWidth="1"/>
    <col min="13576" max="13576" width="13.625" style="38" customWidth="1"/>
    <col min="13577" max="13577" width="7.125" style="38" customWidth="1"/>
    <col min="13578" max="13578" width="4.375" style="38" customWidth="1"/>
    <col min="13579" max="13581" width="9.375" style="38" customWidth="1"/>
    <col min="13582" max="13824" width="8" style="38"/>
    <col min="13825" max="13825" width="1" style="38" customWidth="1"/>
    <col min="13826" max="13826" width="16.25" style="38" customWidth="1"/>
    <col min="13827" max="13827" width="18.625" style="38" customWidth="1"/>
    <col min="13828" max="13828" width="6" style="38" customWidth="1"/>
    <col min="13829" max="13829" width="15.875" style="38" customWidth="1"/>
    <col min="13830" max="13830" width="10.375" style="38" customWidth="1"/>
    <col min="13831" max="13831" width="32.125" style="38" customWidth="1"/>
    <col min="13832" max="13832" width="13.625" style="38" customWidth="1"/>
    <col min="13833" max="13833" width="7.125" style="38" customWidth="1"/>
    <col min="13834" max="13834" width="4.375" style="38" customWidth="1"/>
    <col min="13835" max="13837" width="9.375" style="38" customWidth="1"/>
    <col min="13838" max="14080" width="8" style="38"/>
    <col min="14081" max="14081" width="1" style="38" customWidth="1"/>
    <col min="14082" max="14082" width="16.25" style="38" customWidth="1"/>
    <col min="14083" max="14083" width="18.625" style="38" customWidth="1"/>
    <col min="14084" max="14084" width="6" style="38" customWidth="1"/>
    <col min="14085" max="14085" width="15.875" style="38" customWidth="1"/>
    <col min="14086" max="14086" width="10.375" style="38" customWidth="1"/>
    <col min="14087" max="14087" width="32.125" style="38" customWidth="1"/>
    <col min="14088" max="14088" width="13.625" style="38" customWidth="1"/>
    <col min="14089" max="14089" width="7.125" style="38" customWidth="1"/>
    <col min="14090" max="14090" width="4.375" style="38" customWidth="1"/>
    <col min="14091" max="14093" width="9.375" style="38" customWidth="1"/>
    <col min="14094" max="14336" width="9" style="38"/>
    <col min="14337" max="14337" width="1" style="38" customWidth="1"/>
    <col min="14338" max="14338" width="16.25" style="38" customWidth="1"/>
    <col min="14339" max="14339" width="18.625" style="38" customWidth="1"/>
    <col min="14340" max="14340" width="6" style="38" customWidth="1"/>
    <col min="14341" max="14341" width="15.875" style="38" customWidth="1"/>
    <col min="14342" max="14342" width="10.375" style="38" customWidth="1"/>
    <col min="14343" max="14343" width="32.125" style="38" customWidth="1"/>
    <col min="14344" max="14344" width="13.625" style="38" customWidth="1"/>
    <col min="14345" max="14345" width="7.125" style="38" customWidth="1"/>
    <col min="14346" max="14346" width="4.375" style="38" customWidth="1"/>
    <col min="14347" max="14349" width="9.375" style="38" customWidth="1"/>
    <col min="14350" max="14592" width="8" style="38"/>
    <col min="14593" max="14593" width="1" style="38" customWidth="1"/>
    <col min="14594" max="14594" width="16.25" style="38" customWidth="1"/>
    <col min="14595" max="14595" width="18.625" style="38" customWidth="1"/>
    <col min="14596" max="14596" width="6" style="38" customWidth="1"/>
    <col min="14597" max="14597" width="15.875" style="38" customWidth="1"/>
    <col min="14598" max="14598" width="10.375" style="38" customWidth="1"/>
    <col min="14599" max="14599" width="32.125" style="38" customWidth="1"/>
    <col min="14600" max="14600" width="13.625" style="38" customWidth="1"/>
    <col min="14601" max="14601" width="7.125" style="38" customWidth="1"/>
    <col min="14602" max="14602" width="4.375" style="38" customWidth="1"/>
    <col min="14603" max="14605" width="9.375" style="38" customWidth="1"/>
    <col min="14606" max="14848" width="8" style="38"/>
    <col min="14849" max="14849" width="1" style="38" customWidth="1"/>
    <col min="14850" max="14850" width="16.25" style="38" customWidth="1"/>
    <col min="14851" max="14851" width="18.625" style="38" customWidth="1"/>
    <col min="14852" max="14852" width="6" style="38" customWidth="1"/>
    <col min="14853" max="14853" width="15.875" style="38" customWidth="1"/>
    <col min="14854" max="14854" width="10.375" style="38" customWidth="1"/>
    <col min="14855" max="14855" width="32.125" style="38" customWidth="1"/>
    <col min="14856" max="14856" width="13.625" style="38" customWidth="1"/>
    <col min="14857" max="14857" width="7.125" style="38" customWidth="1"/>
    <col min="14858" max="14858" width="4.375" style="38" customWidth="1"/>
    <col min="14859" max="14861" width="9.375" style="38" customWidth="1"/>
    <col min="14862" max="15104" width="8" style="38"/>
    <col min="15105" max="15105" width="1" style="38" customWidth="1"/>
    <col min="15106" max="15106" width="16.25" style="38" customWidth="1"/>
    <col min="15107" max="15107" width="18.625" style="38" customWidth="1"/>
    <col min="15108" max="15108" width="6" style="38" customWidth="1"/>
    <col min="15109" max="15109" width="15.875" style="38" customWidth="1"/>
    <col min="15110" max="15110" width="10.375" style="38" customWidth="1"/>
    <col min="15111" max="15111" width="32.125" style="38" customWidth="1"/>
    <col min="15112" max="15112" width="13.625" style="38" customWidth="1"/>
    <col min="15113" max="15113" width="7.125" style="38" customWidth="1"/>
    <col min="15114" max="15114" width="4.375" style="38" customWidth="1"/>
    <col min="15115" max="15117" width="9.375" style="38" customWidth="1"/>
    <col min="15118" max="15360" width="9" style="38"/>
    <col min="15361" max="15361" width="1" style="38" customWidth="1"/>
    <col min="15362" max="15362" width="16.25" style="38" customWidth="1"/>
    <col min="15363" max="15363" width="18.625" style="38" customWidth="1"/>
    <col min="15364" max="15364" width="6" style="38" customWidth="1"/>
    <col min="15365" max="15365" width="15.875" style="38" customWidth="1"/>
    <col min="15366" max="15366" width="10.375" style="38" customWidth="1"/>
    <col min="15367" max="15367" width="32.125" style="38" customWidth="1"/>
    <col min="15368" max="15368" width="13.625" style="38" customWidth="1"/>
    <col min="15369" max="15369" width="7.125" style="38" customWidth="1"/>
    <col min="15370" max="15370" width="4.375" style="38" customWidth="1"/>
    <col min="15371" max="15373" width="9.375" style="38" customWidth="1"/>
    <col min="15374" max="15616" width="8" style="38"/>
    <col min="15617" max="15617" width="1" style="38" customWidth="1"/>
    <col min="15618" max="15618" width="16.25" style="38" customWidth="1"/>
    <col min="15619" max="15619" width="18.625" style="38" customWidth="1"/>
    <col min="15620" max="15620" width="6" style="38" customWidth="1"/>
    <col min="15621" max="15621" width="15.875" style="38" customWidth="1"/>
    <col min="15622" max="15622" width="10.375" style="38" customWidth="1"/>
    <col min="15623" max="15623" width="32.125" style="38" customWidth="1"/>
    <col min="15624" max="15624" width="13.625" style="38" customWidth="1"/>
    <col min="15625" max="15625" width="7.125" style="38" customWidth="1"/>
    <col min="15626" max="15626" width="4.375" style="38" customWidth="1"/>
    <col min="15627" max="15629" width="9.375" style="38" customWidth="1"/>
    <col min="15630" max="15872" width="8" style="38"/>
    <col min="15873" max="15873" width="1" style="38" customWidth="1"/>
    <col min="15874" max="15874" width="16.25" style="38" customWidth="1"/>
    <col min="15875" max="15875" width="18.625" style="38" customWidth="1"/>
    <col min="15876" max="15876" width="6" style="38" customWidth="1"/>
    <col min="15877" max="15877" width="15.875" style="38" customWidth="1"/>
    <col min="15878" max="15878" width="10.375" style="38" customWidth="1"/>
    <col min="15879" max="15879" width="32.125" style="38" customWidth="1"/>
    <col min="15880" max="15880" width="13.625" style="38" customWidth="1"/>
    <col min="15881" max="15881" width="7.125" style="38" customWidth="1"/>
    <col min="15882" max="15882" width="4.375" style="38" customWidth="1"/>
    <col min="15883" max="15885" width="9.375" style="38" customWidth="1"/>
    <col min="15886" max="16128" width="8" style="38"/>
    <col min="16129" max="16129" width="1" style="38" customWidth="1"/>
    <col min="16130" max="16130" width="16.25" style="38" customWidth="1"/>
    <col min="16131" max="16131" width="18.625" style="38" customWidth="1"/>
    <col min="16132" max="16132" width="6" style="38" customWidth="1"/>
    <col min="16133" max="16133" width="15.875" style="38" customWidth="1"/>
    <col min="16134" max="16134" width="10.375" style="38" customWidth="1"/>
    <col min="16135" max="16135" width="32.125" style="38" customWidth="1"/>
    <col min="16136" max="16136" width="13.625" style="38" customWidth="1"/>
    <col min="16137" max="16137" width="7.125" style="38" customWidth="1"/>
    <col min="16138" max="16138" width="4.375" style="38" customWidth="1"/>
    <col min="16139" max="16141" width="9.375" style="38" customWidth="1"/>
    <col min="16142" max="16384" width="9" style="38"/>
  </cols>
  <sheetData>
    <row r="1" spans="1:15" ht="52.5" customHeight="1" x14ac:dyDescent="0.2">
      <c r="H1" s="373" t="s">
        <v>157</v>
      </c>
      <c r="M1" s="374" t="s">
        <v>89</v>
      </c>
    </row>
    <row r="2" spans="1:15" ht="42.75" customHeight="1" x14ac:dyDescent="0.2">
      <c r="C2" s="42" t="s">
        <v>68</v>
      </c>
      <c r="D2" s="424" t="s">
        <v>69</v>
      </c>
      <c r="E2" s="424"/>
      <c r="F2" s="424"/>
      <c r="G2" s="32"/>
      <c r="H2" s="61"/>
      <c r="I2" s="61"/>
      <c r="J2" s="61"/>
      <c r="K2" s="36"/>
      <c r="L2" s="36"/>
      <c r="M2" s="37"/>
    </row>
    <row r="3" spans="1:15" ht="23.25" customHeight="1" x14ac:dyDescent="0.2">
      <c r="C3" s="42"/>
      <c r="D3" s="77"/>
      <c r="E3" s="77"/>
      <c r="F3" s="77"/>
      <c r="G3" s="32"/>
      <c r="H3" s="61"/>
      <c r="I3" s="61"/>
      <c r="J3" s="61"/>
      <c r="K3" s="36"/>
      <c r="L3" s="36"/>
      <c r="M3" s="37"/>
    </row>
    <row r="4" spans="1:15" ht="60" customHeight="1" thickBot="1" x14ac:dyDescent="0.25">
      <c r="C4" s="80" t="s">
        <v>37</v>
      </c>
      <c r="D4" s="445" t="s">
        <v>158</v>
      </c>
      <c r="E4" s="445"/>
      <c r="F4" s="445"/>
      <c r="G4" s="445"/>
      <c r="H4" s="445"/>
      <c r="I4" s="445"/>
      <c r="J4" s="445"/>
      <c r="K4" s="445"/>
      <c r="L4" s="445"/>
      <c r="M4" s="445"/>
    </row>
    <row r="5" spans="1:15" ht="32.25" customHeight="1" x14ac:dyDescent="0.2">
      <c r="C5" s="70"/>
      <c r="H5" s="436" t="s">
        <v>142</v>
      </c>
      <c r="I5" s="437"/>
      <c r="J5" s="437"/>
      <c r="K5" s="442"/>
      <c r="L5" s="443"/>
    </row>
    <row r="6" spans="1:15" ht="3.75" customHeight="1" x14ac:dyDescent="0.2">
      <c r="C6" s="64"/>
      <c r="D6" s="46"/>
      <c r="E6" s="46"/>
      <c r="F6" s="46"/>
      <c r="G6" s="46"/>
      <c r="H6" s="439"/>
      <c r="I6" s="440"/>
      <c r="J6" s="440"/>
      <c r="K6" s="444"/>
      <c r="L6" s="443"/>
    </row>
    <row r="7" spans="1:15" ht="56.25" customHeight="1" x14ac:dyDescent="0.2">
      <c r="C7" s="254" t="s">
        <v>91</v>
      </c>
      <c r="D7" s="225" t="s">
        <v>92</v>
      </c>
      <c r="E7" s="84" t="s">
        <v>145</v>
      </c>
      <c r="F7" s="84" t="s">
        <v>146</v>
      </c>
      <c r="G7" s="87" t="s">
        <v>147</v>
      </c>
      <c r="H7" s="104" t="s">
        <v>148</v>
      </c>
      <c r="I7" s="84" t="s">
        <v>149</v>
      </c>
      <c r="J7" s="105" t="s">
        <v>159</v>
      </c>
      <c r="K7" s="106" t="s">
        <v>103</v>
      </c>
      <c r="L7" s="107" t="s">
        <v>150</v>
      </c>
      <c r="O7" s="38"/>
    </row>
    <row r="8" spans="1:15" ht="74.25" customHeight="1" x14ac:dyDescent="0.2">
      <c r="B8" s="381" t="s">
        <v>90</v>
      </c>
      <c r="C8" s="292">
        <v>43586</v>
      </c>
      <c r="D8" s="292">
        <v>43599</v>
      </c>
      <c r="E8" s="294" t="s">
        <v>160</v>
      </c>
      <c r="F8" s="256" t="s">
        <v>162</v>
      </c>
      <c r="G8" s="256" t="s">
        <v>57</v>
      </c>
      <c r="H8" s="270">
        <v>24</v>
      </c>
      <c r="I8" s="259">
        <v>118</v>
      </c>
      <c r="J8" s="163">
        <f>Table35222[[#This Row],[Heures d''utilisation]]*Table35222[[#This Row],[Tarif de location OPSS 127]]*0.4</f>
        <v>1132.8</v>
      </c>
      <c r="K8" s="295">
        <v>632</v>
      </c>
      <c r="L8" s="296">
        <v>1132</v>
      </c>
      <c r="O8" s="38"/>
    </row>
    <row r="9" spans="1:15" ht="51" customHeight="1" x14ac:dyDescent="0.2">
      <c r="B9" s="288"/>
      <c r="C9" s="292">
        <v>43458</v>
      </c>
      <c r="D9" s="292">
        <v>43465</v>
      </c>
      <c r="E9" s="198" t="s">
        <v>161</v>
      </c>
      <c r="F9" s="263" t="s">
        <v>163</v>
      </c>
      <c r="G9" s="264" t="s">
        <v>56</v>
      </c>
      <c r="H9" s="271">
        <v>88</v>
      </c>
      <c r="I9" s="266">
        <v>169.8</v>
      </c>
      <c r="J9" s="267">
        <f>Table35222[[#This Row],[Heures d''utilisation]]*Table35222[[#This Row],[Tarif de location OPSS 127]]*0.4</f>
        <v>5976.9600000000009</v>
      </c>
      <c r="K9" s="268">
        <v>705</v>
      </c>
      <c r="L9" s="269">
        <v>4160.24</v>
      </c>
      <c r="O9" s="38"/>
    </row>
    <row r="10" spans="1:15" ht="27" hidden="1" thickBot="1" x14ac:dyDescent="0.3">
      <c r="C10" s="217" t="s">
        <v>38</v>
      </c>
      <c r="D10" s="217" t="s">
        <v>14</v>
      </c>
      <c r="E10" s="218" t="s">
        <v>0</v>
      </c>
      <c r="F10" s="183" t="s">
        <v>1</v>
      </c>
      <c r="G10" s="219" t="s">
        <v>2</v>
      </c>
      <c r="H10" s="156" t="s">
        <v>8</v>
      </c>
      <c r="I10" s="27" t="s">
        <v>9</v>
      </c>
      <c r="J10" s="157" t="s">
        <v>44</v>
      </c>
      <c r="K10" s="232" t="s">
        <v>13</v>
      </c>
      <c r="L10" s="233" t="s">
        <v>23</v>
      </c>
      <c r="O10" s="38"/>
    </row>
    <row r="11" spans="1:15" x14ac:dyDescent="0.2">
      <c r="A11" s="274"/>
      <c r="B11" s="272"/>
      <c r="C11" s="252"/>
      <c r="D11" s="252"/>
      <c r="E11" s="223"/>
      <c r="F11" s="223"/>
      <c r="G11" s="213"/>
      <c r="H11" s="231"/>
      <c r="I11" s="228"/>
      <c r="J11" s="229">
        <f>EquipCC[[#This Row],[Hours Used]]*EquipCC[[#This Row],[Claimant''s Rate]]*0.4</f>
        <v>0</v>
      </c>
      <c r="K11" s="372"/>
      <c r="L11" s="187"/>
      <c r="O11" s="38"/>
    </row>
    <row r="12" spans="1:15" ht="13.15" x14ac:dyDescent="0.25">
      <c r="A12" s="274"/>
      <c r="B12" s="272"/>
      <c r="C12" s="252"/>
      <c r="D12" s="252"/>
      <c r="E12" s="223"/>
      <c r="F12" s="223"/>
      <c r="G12" s="213"/>
      <c r="H12" s="231"/>
      <c r="I12" s="228"/>
      <c r="J12" s="229">
        <f>EquipCC[[#This Row],[Hours Used]]*EquipCC[[#This Row],[Claimant''s Rate]]*0.4</f>
        <v>0</v>
      </c>
      <c r="K12" s="372"/>
      <c r="L12" s="187">
        <f>SUM(EquipCC[[#This Row],[Column2]])</f>
        <v>0</v>
      </c>
      <c r="O12" s="38"/>
    </row>
    <row r="13" spans="1:15" ht="13.15" x14ac:dyDescent="0.25">
      <c r="A13" s="274"/>
      <c r="B13" s="272"/>
      <c r="C13" s="252"/>
      <c r="D13" s="252"/>
      <c r="E13" s="223"/>
      <c r="F13" s="223"/>
      <c r="G13" s="213"/>
      <c r="H13" s="231"/>
      <c r="I13" s="228"/>
      <c r="J13" s="229">
        <f>EquipCC[[#This Row],[Hours Used]]*EquipCC[[#This Row],[Claimant''s Rate]]*0.4</f>
        <v>0</v>
      </c>
      <c r="K13" s="372"/>
      <c r="L13" s="187">
        <f>SUM(EquipCC[[#This Row],[Column2]])</f>
        <v>0</v>
      </c>
      <c r="O13" s="38"/>
    </row>
    <row r="14" spans="1:15" ht="13.15" x14ac:dyDescent="0.25">
      <c r="B14" s="272"/>
      <c r="C14" s="252"/>
      <c r="D14" s="252"/>
      <c r="E14" s="223"/>
      <c r="F14" s="223"/>
      <c r="G14" s="213"/>
      <c r="H14" s="231"/>
      <c r="I14" s="228"/>
      <c r="J14" s="229">
        <f>EquipCC[[#This Row],[Hours Used]]*EquipCC[[#This Row],[Claimant''s Rate]]*0.4</f>
        <v>0</v>
      </c>
      <c r="K14" s="372"/>
      <c r="L14" s="187">
        <f>SUM(EquipCC[[#This Row],[Column2]])</f>
        <v>0</v>
      </c>
      <c r="O14" s="38"/>
    </row>
    <row r="15" spans="1:15" ht="13.15" x14ac:dyDescent="0.25">
      <c r="B15" s="272"/>
      <c r="C15" s="252"/>
      <c r="D15" s="252"/>
      <c r="E15" s="223"/>
      <c r="F15" s="223"/>
      <c r="G15" s="213"/>
      <c r="H15" s="231"/>
      <c r="I15" s="228"/>
      <c r="J15" s="229">
        <f>EquipCC[[#This Row],[Hours Used]]*EquipCC[[#This Row],[Claimant''s Rate]]*0.4</f>
        <v>0</v>
      </c>
      <c r="K15" s="372"/>
      <c r="L15" s="187">
        <f>SUM(EquipCC[[#This Row],[Column2]])</f>
        <v>0</v>
      </c>
      <c r="O15" s="38"/>
    </row>
    <row r="16" spans="1:15" ht="13.15" x14ac:dyDescent="0.25">
      <c r="B16" s="272"/>
      <c r="C16" s="252"/>
      <c r="D16" s="252"/>
      <c r="E16" s="223"/>
      <c r="F16" s="223"/>
      <c r="G16" s="213"/>
      <c r="H16" s="231"/>
      <c r="I16" s="228"/>
      <c r="J16" s="229">
        <f>EquipCC[[#This Row],[Hours Used]]*EquipCC[[#This Row],[Claimant''s Rate]]*0.4</f>
        <v>0</v>
      </c>
      <c r="K16" s="372"/>
      <c r="L16" s="187">
        <f>SUM(EquipCC[[#This Row],[Column2]])</f>
        <v>0</v>
      </c>
      <c r="M16" s="44"/>
      <c r="O16" s="38"/>
    </row>
    <row r="17" spans="2:15" ht="13.15" x14ac:dyDescent="0.25">
      <c r="B17" s="272"/>
      <c r="C17" s="273"/>
      <c r="D17" s="252"/>
      <c r="E17" s="223"/>
      <c r="F17" s="223"/>
      <c r="G17" s="213"/>
      <c r="H17" s="231"/>
      <c r="I17" s="228"/>
      <c r="J17" s="229">
        <f>EquipCC[[#This Row],[Hours Used]]*EquipCC[[#This Row],[Claimant''s Rate]]*0.4</f>
        <v>0</v>
      </c>
      <c r="K17" s="372"/>
      <c r="L17" s="187">
        <f>SUM(EquipCC[[#This Row],[Column2]])</f>
        <v>0</v>
      </c>
      <c r="M17" s="44"/>
      <c r="O17" s="38"/>
    </row>
    <row r="18" spans="2:15" ht="13.15" x14ac:dyDescent="0.25">
      <c r="B18" s="272"/>
      <c r="C18" s="273"/>
      <c r="D18" s="252"/>
      <c r="E18" s="223"/>
      <c r="F18" s="223"/>
      <c r="G18" s="213"/>
      <c r="H18" s="231"/>
      <c r="I18" s="228"/>
      <c r="J18" s="229">
        <f>EquipCC[[#This Row],[Hours Used]]*EquipCC[[#This Row],[Claimant''s Rate]]*0.4</f>
        <v>0</v>
      </c>
      <c r="K18" s="372"/>
      <c r="L18" s="187">
        <f>SUM(EquipCC[[#This Row],[Column2]])</f>
        <v>0</v>
      </c>
      <c r="M18" s="44"/>
      <c r="O18" s="38"/>
    </row>
    <row r="19" spans="2:15" ht="13.15" x14ac:dyDescent="0.25">
      <c r="B19" s="272"/>
      <c r="C19" s="273"/>
      <c r="D19" s="252"/>
      <c r="E19" s="223"/>
      <c r="F19" s="223"/>
      <c r="G19" s="213"/>
      <c r="H19" s="231"/>
      <c r="I19" s="228"/>
      <c r="J19" s="229">
        <f>EquipCC[[#This Row],[Hours Used]]*EquipCC[[#This Row],[Claimant''s Rate]]*0.4</f>
        <v>0</v>
      </c>
      <c r="K19" s="372"/>
      <c r="L19" s="187">
        <f>SUM(EquipCC[[#This Row],[Column2]])</f>
        <v>0</v>
      </c>
      <c r="M19" s="44"/>
      <c r="O19" s="38"/>
    </row>
    <row r="20" spans="2:15" ht="13.15" x14ac:dyDescent="0.25">
      <c r="B20" s="272"/>
      <c r="C20" s="273"/>
      <c r="D20" s="252"/>
      <c r="E20" s="223"/>
      <c r="F20" s="223"/>
      <c r="G20" s="223"/>
      <c r="H20" s="231"/>
      <c r="I20" s="228"/>
      <c r="J20" s="230">
        <f>EquipCC[[#This Row],[Hours Used]]*EquipCC[[#This Row],[Claimant''s Rate]]*0.4</f>
        <v>0</v>
      </c>
      <c r="K20" s="370"/>
      <c r="L20" s="187">
        <f>SUM(EquipCC[[#This Row],[Column2]])</f>
        <v>0</v>
      </c>
      <c r="M20" s="44"/>
      <c r="O20" s="38"/>
    </row>
    <row r="21" spans="2:15" ht="13.9" x14ac:dyDescent="0.25">
      <c r="B21" s="272"/>
      <c r="C21" s="273"/>
      <c r="D21" s="252"/>
      <c r="E21" s="223"/>
      <c r="F21" s="223"/>
      <c r="G21" s="223"/>
      <c r="H21" s="231"/>
      <c r="I21" s="228"/>
      <c r="J21" s="230">
        <f>EquipCC[[#This Row],[Hours Used]]*EquipCC[[#This Row],[Claimant''s Rate]]*0.4</f>
        <v>0</v>
      </c>
      <c r="K21" s="370"/>
      <c r="L21" s="187">
        <f>SUM(EquipCC[[#This Row],[Column2]])</f>
        <v>0</v>
      </c>
      <c r="M21" s="126"/>
      <c r="N21" s="127"/>
    </row>
    <row r="22" spans="2:15" ht="13.15" x14ac:dyDescent="0.25">
      <c r="C22" s="273"/>
      <c r="D22" s="252"/>
      <c r="E22" s="223"/>
      <c r="F22" s="223"/>
      <c r="G22" s="223"/>
      <c r="H22" s="231"/>
      <c r="I22" s="228"/>
      <c r="J22" s="230">
        <f>EquipCC[[#This Row],[Hours Used]]*EquipCC[[#This Row],[Claimant''s Rate]]*0.4</f>
        <v>0</v>
      </c>
      <c r="K22" s="370"/>
      <c r="L22" s="187">
        <f>SUM(EquipCC[[#This Row],[Column2]])</f>
        <v>0</v>
      </c>
    </row>
    <row r="23" spans="2:15" ht="13.15" x14ac:dyDescent="0.25">
      <c r="C23" s="273"/>
      <c r="D23" s="252"/>
      <c r="E23" s="223"/>
      <c r="F23" s="223"/>
      <c r="G23" s="223"/>
      <c r="H23" s="231"/>
      <c r="I23" s="228"/>
      <c r="J23" s="230">
        <f>EquipCC[[#This Row],[Hours Used]]*EquipCC[[#This Row],[Claimant''s Rate]]*0.4</f>
        <v>0</v>
      </c>
      <c r="K23" s="370"/>
      <c r="L23" s="187">
        <f>SUM(EquipCC[[#This Row],[Column2]])</f>
        <v>0</v>
      </c>
    </row>
    <row r="24" spans="2:15" ht="13.15" x14ac:dyDescent="0.25">
      <c r="C24" s="273"/>
      <c r="D24" s="252"/>
      <c r="E24" s="223"/>
      <c r="F24" s="223"/>
      <c r="G24" s="223"/>
      <c r="H24" s="231"/>
      <c r="I24" s="228"/>
      <c r="J24" s="230">
        <f>EquipCC[[#This Row],[Hours Used]]*EquipCC[[#This Row],[Claimant''s Rate]]*0.4</f>
        <v>0</v>
      </c>
      <c r="K24" s="370"/>
      <c r="L24" s="187">
        <f>SUM(EquipCC[[#This Row],[Column2]])</f>
        <v>0</v>
      </c>
    </row>
    <row r="25" spans="2:15" ht="14.45" thickBot="1" x14ac:dyDescent="0.3">
      <c r="C25" s="39"/>
      <c r="D25" s="40"/>
      <c r="E25" s="40"/>
      <c r="F25" s="40"/>
      <c r="G25" s="40"/>
      <c r="H25" s="47"/>
      <c r="I25" s="48"/>
      <c r="J25" s="221"/>
      <c r="K25" s="125" t="s">
        <v>39</v>
      </c>
      <c r="L25" s="234">
        <f>SUM(EquipCC[Total Costs])</f>
        <v>0</v>
      </c>
    </row>
    <row r="26" spans="2:15" ht="13.9" x14ac:dyDescent="0.25">
      <c r="J26" s="126"/>
      <c r="K26" s="126"/>
      <c r="L26" s="126"/>
    </row>
  </sheetData>
  <sheetProtection selectLockedCells="1"/>
  <mergeCells count="4">
    <mergeCell ref="H5:J6"/>
    <mergeCell ref="D2:F2"/>
    <mergeCell ref="K5:L6"/>
    <mergeCell ref="D4:M4"/>
  </mergeCells>
  <conditionalFormatting sqref="K11:K24">
    <cfRule type="expression" dxfId="62" priority="1" stopIfTrue="1">
      <formula>$L11=0</formula>
    </cfRule>
    <cfRule type="expression" dxfId="61" priority="2">
      <formula>$K11=0</formula>
    </cfRule>
  </conditionalFormatting>
  <dataValidations count="1">
    <dataValidation type="date" allowBlank="1" showErrorMessage="1" errorTitle="Error" error="Please enter a valid date in the format YYYY/MM/DD" promptTitle="Date Format" prompt="Enter dates as YYYY/MM/DD" sqref="C11:D24">
      <formula1>41640</formula1>
      <formula2>73415</formula2>
    </dataValidation>
  </dataValidations>
  <pageMargins left="0.25" right="0.25" top="0.51432291666666663" bottom="0.75" header="0.3" footer="0.3"/>
  <pageSetup paperSize="5" scale="79" fitToHeight="0" orientation="landscape" horizontalDpi="300" verticalDpi="300" r:id="rId1"/>
  <headerFooter>
    <oddHeader>&amp;L&amp;G&amp;C&amp;"Arial,Bold"&amp;18&amp;K000000Claimant-Owned Equipment Capital Costs&amp;R&amp;"Arial,Bold"&amp;12&amp;K000000Municipal Disaster Recovery Assistance Program</oddHeader>
    <oddFooter>&amp;RPage &amp;P of &amp;N</oddFooter>
  </headerFooter>
  <ignoredErrors>
    <ignoredError sqref="L9" calculatedColumn="1"/>
  </ignoredErrors>
  <drawing r:id="rId2"/>
  <legacyDrawingHF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pageSetUpPr fitToPage="1"/>
  </sheetPr>
  <dimension ref="A1:K22"/>
  <sheetViews>
    <sheetView showGridLines="0" view="pageLayout" zoomScale="90" zoomScaleNormal="75" zoomScalePageLayoutView="90" workbookViewId="0">
      <selection activeCell="B5" sqref="B5"/>
    </sheetView>
  </sheetViews>
  <sheetFormatPr defaultRowHeight="12.75" x14ac:dyDescent="0.2"/>
  <cols>
    <col min="1" max="1" width="3.125" style="38" customWidth="1"/>
    <col min="2" max="2" width="15.375" style="38" customWidth="1"/>
    <col min="3" max="3" width="17.625" style="38" customWidth="1"/>
    <col min="4" max="4" width="54.25" style="38" customWidth="1"/>
    <col min="5" max="5" width="31.125" style="58" customWidth="1"/>
    <col min="6" max="6" width="19.375" style="55" customWidth="1"/>
    <col min="7" max="7" width="15.125" style="38" customWidth="1"/>
    <col min="8" max="8" width="12.25" style="38" hidden="1" customWidth="1"/>
    <col min="9" max="9" width="9" style="38" hidden="1" customWidth="1"/>
    <col min="10" max="10" width="11" style="38" hidden="1" customWidth="1"/>
    <col min="11" max="11" width="1.375" style="38" hidden="1" customWidth="1"/>
    <col min="12" max="12" width="9" style="38"/>
    <col min="13" max="250" width="8" style="38"/>
    <col min="251" max="251" width="1" style="38" customWidth="1"/>
    <col min="252" max="252" width="16.25" style="38" customWidth="1"/>
    <col min="253" max="253" width="18.625" style="38" customWidth="1"/>
    <col min="254" max="254" width="6" style="38" customWidth="1"/>
    <col min="255" max="255" width="15.875" style="38" customWidth="1"/>
    <col min="256" max="256" width="10.375" style="38" customWidth="1"/>
    <col min="257" max="257" width="32.125" style="38" customWidth="1"/>
    <col min="258" max="258" width="13.625" style="38" customWidth="1"/>
    <col min="259" max="259" width="7.125" style="38" customWidth="1"/>
    <col min="260" max="260" width="4.375" style="38" customWidth="1"/>
    <col min="261" max="263" width="9.375" style="38" customWidth="1"/>
    <col min="264" max="506" width="8" style="38"/>
    <col min="507" max="507" width="1" style="38" customWidth="1"/>
    <col min="508" max="508" width="16.25" style="38" customWidth="1"/>
    <col min="509" max="509" width="18.625" style="38" customWidth="1"/>
    <col min="510" max="510" width="6" style="38" customWidth="1"/>
    <col min="511" max="511" width="15.875" style="38" customWidth="1"/>
    <col min="512" max="512" width="10.375" style="38" customWidth="1"/>
    <col min="513" max="513" width="32.125" style="38" customWidth="1"/>
    <col min="514" max="514" width="13.625" style="38" customWidth="1"/>
    <col min="515" max="515" width="7.125" style="38" customWidth="1"/>
    <col min="516" max="516" width="4.375" style="38" customWidth="1"/>
    <col min="517" max="519" width="9.375" style="38" customWidth="1"/>
    <col min="520" max="762" width="8" style="38"/>
    <col min="763" max="763" width="1" style="38" customWidth="1"/>
    <col min="764" max="764" width="16.25" style="38" customWidth="1"/>
    <col min="765" max="765" width="18.625" style="38" customWidth="1"/>
    <col min="766" max="766" width="6" style="38" customWidth="1"/>
    <col min="767" max="767" width="15.875" style="38" customWidth="1"/>
    <col min="768" max="768" width="10.375" style="38" customWidth="1"/>
    <col min="769" max="769" width="32.125" style="38" customWidth="1"/>
    <col min="770" max="770" width="13.625" style="38" customWidth="1"/>
    <col min="771" max="771" width="7.125" style="38" customWidth="1"/>
    <col min="772" max="772" width="4.375" style="38" customWidth="1"/>
    <col min="773" max="775" width="9.375" style="38" customWidth="1"/>
    <col min="776" max="1018" width="8" style="38"/>
    <col min="1019" max="1019" width="1" style="38" customWidth="1"/>
    <col min="1020" max="1020" width="16.25" style="38" customWidth="1"/>
    <col min="1021" max="1021" width="18.625" style="38" customWidth="1"/>
    <col min="1022" max="1022" width="6" style="38" customWidth="1"/>
    <col min="1023" max="1023" width="15.875" style="38" customWidth="1"/>
    <col min="1024" max="1024" width="10.375" style="38" customWidth="1"/>
    <col min="1025" max="1025" width="32.125" style="38" customWidth="1"/>
    <col min="1026" max="1026" width="13.625" style="38" customWidth="1"/>
    <col min="1027" max="1027" width="7.125" style="38" customWidth="1"/>
    <col min="1028" max="1028" width="4.375" style="38" customWidth="1"/>
    <col min="1029" max="1031" width="9.375" style="38" customWidth="1"/>
    <col min="1032" max="1274" width="8" style="38"/>
    <col min="1275" max="1275" width="1" style="38" customWidth="1"/>
    <col min="1276" max="1276" width="16.25" style="38" customWidth="1"/>
    <col min="1277" max="1277" width="18.625" style="38" customWidth="1"/>
    <col min="1278" max="1278" width="6" style="38" customWidth="1"/>
    <col min="1279" max="1279" width="15.875" style="38" customWidth="1"/>
    <col min="1280" max="1280" width="10.375" style="38" customWidth="1"/>
    <col min="1281" max="1281" width="32.125" style="38" customWidth="1"/>
    <col min="1282" max="1282" width="13.625" style="38" customWidth="1"/>
    <col min="1283" max="1283" width="7.125" style="38" customWidth="1"/>
    <col min="1284" max="1284" width="4.375" style="38" customWidth="1"/>
    <col min="1285" max="1287" width="9.375" style="38" customWidth="1"/>
    <col min="1288" max="1530" width="8" style="38"/>
    <col min="1531" max="1531" width="1" style="38" customWidth="1"/>
    <col min="1532" max="1532" width="16.25" style="38" customWidth="1"/>
    <col min="1533" max="1533" width="18.625" style="38" customWidth="1"/>
    <col min="1534" max="1534" width="6" style="38" customWidth="1"/>
    <col min="1535" max="1535" width="15.875" style="38" customWidth="1"/>
    <col min="1536" max="1536" width="10.375" style="38" customWidth="1"/>
    <col min="1537" max="1537" width="32.125" style="38" customWidth="1"/>
    <col min="1538" max="1538" width="13.625" style="38" customWidth="1"/>
    <col min="1539" max="1539" width="7.125" style="38" customWidth="1"/>
    <col min="1540" max="1540" width="4.375" style="38" customWidth="1"/>
    <col min="1541" max="1543" width="9.375" style="38" customWidth="1"/>
    <col min="1544" max="1786" width="8" style="38"/>
    <col min="1787" max="1787" width="1" style="38" customWidth="1"/>
    <col min="1788" max="1788" width="16.25" style="38" customWidth="1"/>
    <col min="1789" max="1789" width="18.625" style="38" customWidth="1"/>
    <col min="1790" max="1790" width="6" style="38" customWidth="1"/>
    <col min="1791" max="1791" width="15.875" style="38" customWidth="1"/>
    <col min="1792" max="1792" width="10.375" style="38" customWidth="1"/>
    <col min="1793" max="1793" width="32.125" style="38" customWidth="1"/>
    <col min="1794" max="1794" width="13.625" style="38" customWidth="1"/>
    <col min="1795" max="1795" width="7.125" style="38" customWidth="1"/>
    <col min="1796" max="1796" width="4.375" style="38" customWidth="1"/>
    <col min="1797" max="1799" width="9.375" style="38" customWidth="1"/>
    <col min="1800" max="2042" width="8" style="38"/>
    <col min="2043" max="2043" width="1" style="38" customWidth="1"/>
    <col min="2044" max="2044" width="16.25" style="38" customWidth="1"/>
    <col min="2045" max="2045" width="18.625" style="38" customWidth="1"/>
    <col min="2046" max="2046" width="6" style="38" customWidth="1"/>
    <col min="2047" max="2047" width="15.875" style="38" customWidth="1"/>
    <col min="2048" max="2048" width="10.375" style="38" customWidth="1"/>
    <col min="2049" max="2049" width="32.125" style="38" customWidth="1"/>
    <col min="2050" max="2050" width="13.625" style="38" customWidth="1"/>
    <col min="2051" max="2051" width="7.125" style="38" customWidth="1"/>
    <col min="2052" max="2052" width="4.375" style="38" customWidth="1"/>
    <col min="2053" max="2055" width="9.375" style="38" customWidth="1"/>
    <col min="2056" max="2298" width="8" style="38"/>
    <col min="2299" max="2299" width="1" style="38" customWidth="1"/>
    <col min="2300" max="2300" width="16.25" style="38" customWidth="1"/>
    <col min="2301" max="2301" width="18.625" style="38" customWidth="1"/>
    <col min="2302" max="2302" width="6" style="38" customWidth="1"/>
    <col min="2303" max="2303" width="15.875" style="38" customWidth="1"/>
    <col min="2304" max="2304" width="10.375" style="38" customWidth="1"/>
    <col min="2305" max="2305" width="32.125" style="38" customWidth="1"/>
    <col min="2306" max="2306" width="13.625" style="38" customWidth="1"/>
    <col min="2307" max="2307" width="7.125" style="38" customWidth="1"/>
    <col min="2308" max="2308" width="4.375" style="38" customWidth="1"/>
    <col min="2309" max="2311" width="9.375" style="38" customWidth="1"/>
    <col min="2312" max="2554" width="8" style="38"/>
    <col min="2555" max="2555" width="1" style="38" customWidth="1"/>
    <col min="2556" max="2556" width="16.25" style="38" customWidth="1"/>
    <col min="2557" max="2557" width="18.625" style="38" customWidth="1"/>
    <col min="2558" max="2558" width="6" style="38" customWidth="1"/>
    <col min="2559" max="2559" width="15.875" style="38" customWidth="1"/>
    <col min="2560" max="2560" width="10.375" style="38" customWidth="1"/>
    <col min="2561" max="2561" width="32.125" style="38" customWidth="1"/>
    <col min="2562" max="2562" width="13.625" style="38" customWidth="1"/>
    <col min="2563" max="2563" width="7.125" style="38" customWidth="1"/>
    <col min="2564" max="2564" width="4.375" style="38" customWidth="1"/>
    <col min="2565" max="2567" width="9.375" style="38" customWidth="1"/>
    <col min="2568" max="2810" width="8" style="38"/>
    <col min="2811" max="2811" width="1" style="38" customWidth="1"/>
    <col min="2812" max="2812" width="16.25" style="38" customWidth="1"/>
    <col min="2813" max="2813" width="18.625" style="38" customWidth="1"/>
    <col min="2814" max="2814" width="6" style="38" customWidth="1"/>
    <col min="2815" max="2815" width="15.875" style="38" customWidth="1"/>
    <col min="2816" max="2816" width="10.375" style="38" customWidth="1"/>
    <col min="2817" max="2817" width="32.125" style="38" customWidth="1"/>
    <col min="2818" max="2818" width="13.625" style="38" customWidth="1"/>
    <col min="2819" max="2819" width="7.125" style="38" customWidth="1"/>
    <col min="2820" max="2820" width="4.375" style="38" customWidth="1"/>
    <col min="2821" max="2823" width="9.375" style="38" customWidth="1"/>
    <col min="2824" max="3066" width="8" style="38"/>
    <col min="3067" max="3067" width="1" style="38" customWidth="1"/>
    <col min="3068" max="3068" width="16.25" style="38" customWidth="1"/>
    <col min="3069" max="3069" width="18.625" style="38" customWidth="1"/>
    <col min="3070" max="3070" width="6" style="38" customWidth="1"/>
    <col min="3071" max="3071" width="15.875" style="38" customWidth="1"/>
    <col min="3072" max="3072" width="10.375" style="38" customWidth="1"/>
    <col min="3073" max="3073" width="32.125" style="38" customWidth="1"/>
    <col min="3074" max="3074" width="13.625" style="38" customWidth="1"/>
    <col min="3075" max="3075" width="7.125" style="38" customWidth="1"/>
    <col min="3076" max="3076" width="4.375" style="38" customWidth="1"/>
    <col min="3077" max="3079" width="9.375" style="38" customWidth="1"/>
    <col min="3080" max="3322" width="8" style="38"/>
    <col min="3323" max="3323" width="1" style="38" customWidth="1"/>
    <col min="3324" max="3324" width="16.25" style="38" customWidth="1"/>
    <col min="3325" max="3325" width="18.625" style="38" customWidth="1"/>
    <col min="3326" max="3326" width="6" style="38" customWidth="1"/>
    <col min="3327" max="3327" width="15.875" style="38" customWidth="1"/>
    <col min="3328" max="3328" width="10.375" style="38" customWidth="1"/>
    <col min="3329" max="3329" width="32.125" style="38" customWidth="1"/>
    <col min="3330" max="3330" width="13.625" style="38" customWidth="1"/>
    <col min="3331" max="3331" width="7.125" style="38" customWidth="1"/>
    <col min="3332" max="3332" width="4.375" style="38" customWidth="1"/>
    <col min="3333" max="3335" width="9.375" style="38" customWidth="1"/>
    <col min="3336" max="3578" width="8" style="38"/>
    <col min="3579" max="3579" width="1" style="38" customWidth="1"/>
    <col min="3580" max="3580" width="16.25" style="38" customWidth="1"/>
    <col min="3581" max="3581" width="18.625" style="38" customWidth="1"/>
    <col min="3582" max="3582" width="6" style="38" customWidth="1"/>
    <col min="3583" max="3583" width="15.875" style="38" customWidth="1"/>
    <col min="3584" max="3584" width="10.375" style="38" customWidth="1"/>
    <col min="3585" max="3585" width="32.125" style="38" customWidth="1"/>
    <col min="3586" max="3586" width="13.625" style="38" customWidth="1"/>
    <col min="3587" max="3587" width="7.125" style="38" customWidth="1"/>
    <col min="3588" max="3588" width="4.375" style="38" customWidth="1"/>
    <col min="3589" max="3591" width="9.375" style="38" customWidth="1"/>
    <col min="3592" max="3834" width="8" style="38"/>
    <col min="3835" max="3835" width="1" style="38" customWidth="1"/>
    <col min="3836" max="3836" width="16.25" style="38" customWidth="1"/>
    <col min="3837" max="3837" width="18.625" style="38" customWidth="1"/>
    <col min="3838" max="3838" width="6" style="38" customWidth="1"/>
    <col min="3839" max="3839" width="15.875" style="38" customWidth="1"/>
    <col min="3840" max="3840" width="10.375" style="38" customWidth="1"/>
    <col min="3841" max="3841" width="32.125" style="38" customWidth="1"/>
    <col min="3842" max="3842" width="13.625" style="38" customWidth="1"/>
    <col min="3843" max="3843" width="7.125" style="38" customWidth="1"/>
    <col min="3844" max="3844" width="4.375" style="38" customWidth="1"/>
    <col min="3845" max="3847" width="9.375" style="38" customWidth="1"/>
    <col min="3848" max="4090" width="8" style="38"/>
    <col min="4091" max="4091" width="1" style="38" customWidth="1"/>
    <col min="4092" max="4092" width="16.25" style="38" customWidth="1"/>
    <col min="4093" max="4093" width="18.625" style="38" customWidth="1"/>
    <col min="4094" max="4094" width="6" style="38" customWidth="1"/>
    <col min="4095" max="4095" width="15.875" style="38" customWidth="1"/>
    <col min="4096" max="4096" width="10.375" style="38" customWidth="1"/>
    <col min="4097" max="4097" width="32.125" style="38" customWidth="1"/>
    <col min="4098" max="4098" width="13.625" style="38" customWidth="1"/>
    <col min="4099" max="4099" width="7.125" style="38" customWidth="1"/>
    <col min="4100" max="4100" width="4.375" style="38" customWidth="1"/>
    <col min="4101" max="4103" width="9.375" style="38" customWidth="1"/>
    <col min="4104" max="4346" width="8" style="38"/>
    <col min="4347" max="4347" width="1" style="38" customWidth="1"/>
    <col min="4348" max="4348" width="16.25" style="38" customWidth="1"/>
    <col min="4349" max="4349" width="18.625" style="38" customWidth="1"/>
    <col min="4350" max="4350" width="6" style="38" customWidth="1"/>
    <col min="4351" max="4351" width="15.875" style="38" customWidth="1"/>
    <col min="4352" max="4352" width="10.375" style="38" customWidth="1"/>
    <col min="4353" max="4353" width="32.125" style="38" customWidth="1"/>
    <col min="4354" max="4354" width="13.625" style="38" customWidth="1"/>
    <col min="4355" max="4355" width="7.125" style="38" customWidth="1"/>
    <col min="4356" max="4356" width="4.375" style="38" customWidth="1"/>
    <col min="4357" max="4359" width="9.375" style="38" customWidth="1"/>
    <col min="4360" max="4602" width="8" style="38"/>
    <col min="4603" max="4603" width="1" style="38" customWidth="1"/>
    <col min="4604" max="4604" width="16.25" style="38" customWidth="1"/>
    <col min="4605" max="4605" width="18.625" style="38" customWidth="1"/>
    <col min="4606" max="4606" width="6" style="38" customWidth="1"/>
    <col min="4607" max="4607" width="15.875" style="38" customWidth="1"/>
    <col min="4608" max="4608" width="10.375" style="38" customWidth="1"/>
    <col min="4609" max="4609" width="32.125" style="38" customWidth="1"/>
    <col min="4610" max="4610" width="13.625" style="38" customWidth="1"/>
    <col min="4611" max="4611" width="7.125" style="38" customWidth="1"/>
    <col min="4612" max="4612" width="4.375" style="38" customWidth="1"/>
    <col min="4613" max="4615" width="9.375" style="38" customWidth="1"/>
    <col min="4616" max="4858" width="8" style="38"/>
    <col min="4859" max="4859" width="1" style="38" customWidth="1"/>
    <col min="4860" max="4860" width="16.25" style="38" customWidth="1"/>
    <col min="4861" max="4861" width="18.625" style="38" customWidth="1"/>
    <col min="4862" max="4862" width="6" style="38" customWidth="1"/>
    <col min="4863" max="4863" width="15.875" style="38" customWidth="1"/>
    <col min="4864" max="4864" width="10.375" style="38" customWidth="1"/>
    <col min="4865" max="4865" width="32.125" style="38" customWidth="1"/>
    <col min="4866" max="4866" width="13.625" style="38" customWidth="1"/>
    <col min="4867" max="4867" width="7.125" style="38" customWidth="1"/>
    <col min="4868" max="4868" width="4.375" style="38" customWidth="1"/>
    <col min="4869" max="4871" width="9.375" style="38" customWidth="1"/>
    <col min="4872" max="5114" width="8" style="38"/>
    <col min="5115" max="5115" width="1" style="38" customWidth="1"/>
    <col min="5116" max="5116" width="16.25" style="38" customWidth="1"/>
    <col min="5117" max="5117" width="18.625" style="38" customWidth="1"/>
    <col min="5118" max="5118" width="6" style="38" customWidth="1"/>
    <col min="5119" max="5119" width="15.875" style="38" customWidth="1"/>
    <col min="5120" max="5120" width="10.375" style="38" customWidth="1"/>
    <col min="5121" max="5121" width="32.125" style="38" customWidth="1"/>
    <col min="5122" max="5122" width="13.625" style="38" customWidth="1"/>
    <col min="5123" max="5123" width="7.125" style="38" customWidth="1"/>
    <col min="5124" max="5124" width="4.375" style="38" customWidth="1"/>
    <col min="5125" max="5127" width="9.375" style="38" customWidth="1"/>
    <col min="5128" max="5370" width="8" style="38"/>
    <col min="5371" max="5371" width="1" style="38" customWidth="1"/>
    <col min="5372" max="5372" width="16.25" style="38" customWidth="1"/>
    <col min="5373" max="5373" width="18.625" style="38" customWidth="1"/>
    <col min="5374" max="5374" width="6" style="38" customWidth="1"/>
    <col min="5375" max="5375" width="15.875" style="38" customWidth="1"/>
    <col min="5376" max="5376" width="10.375" style="38" customWidth="1"/>
    <col min="5377" max="5377" width="32.125" style="38" customWidth="1"/>
    <col min="5378" max="5378" width="13.625" style="38" customWidth="1"/>
    <col min="5379" max="5379" width="7.125" style="38" customWidth="1"/>
    <col min="5380" max="5380" width="4.375" style="38" customWidth="1"/>
    <col min="5381" max="5383" width="9.375" style="38" customWidth="1"/>
    <col min="5384" max="5626" width="8" style="38"/>
    <col min="5627" max="5627" width="1" style="38" customWidth="1"/>
    <col min="5628" max="5628" width="16.25" style="38" customWidth="1"/>
    <col min="5629" max="5629" width="18.625" style="38" customWidth="1"/>
    <col min="5630" max="5630" width="6" style="38" customWidth="1"/>
    <col min="5631" max="5631" width="15.875" style="38" customWidth="1"/>
    <col min="5632" max="5632" width="10.375" style="38" customWidth="1"/>
    <col min="5633" max="5633" width="32.125" style="38" customWidth="1"/>
    <col min="5634" max="5634" width="13.625" style="38" customWidth="1"/>
    <col min="5635" max="5635" width="7.125" style="38" customWidth="1"/>
    <col min="5636" max="5636" width="4.375" style="38" customWidth="1"/>
    <col min="5637" max="5639" width="9.375" style="38" customWidth="1"/>
    <col min="5640" max="5882" width="8" style="38"/>
    <col min="5883" max="5883" width="1" style="38" customWidth="1"/>
    <col min="5884" max="5884" width="16.25" style="38" customWidth="1"/>
    <col min="5885" max="5885" width="18.625" style="38" customWidth="1"/>
    <col min="5886" max="5886" width="6" style="38" customWidth="1"/>
    <col min="5887" max="5887" width="15.875" style="38" customWidth="1"/>
    <col min="5888" max="5888" width="10.375" style="38" customWidth="1"/>
    <col min="5889" max="5889" width="32.125" style="38" customWidth="1"/>
    <col min="5890" max="5890" width="13.625" style="38" customWidth="1"/>
    <col min="5891" max="5891" width="7.125" style="38" customWidth="1"/>
    <col min="5892" max="5892" width="4.375" style="38" customWidth="1"/>
    <col min="5893" max="5895" width="9.375" style="38" customWidth="1"/>
    <col min="5896" max="6138" width="8" style="38"/>
    <col min="6139" max="6139" width="1" style="38" customWidth="1"/>
    <col min="6140" max="6140" width="16.25" style="38" customWidth="1"/>
    <col min="6141" max="6141" width="18.625" style="38" customWidth="1"/>
    <col min="6142" max="6142" width="6" style="38" customWidth="1"/>
    <col min="6143" max="6143" width="15.875" style="38" customWidth="1"/>
    <col min="6144" max="6144" width="10.375" style="38" customWidth="1"/>
    <col min="6145" max="6145" width="32.125" style="38" customWidth="1"/>
    <col min="6146" max="6146" width="13.625" style="38" customWidth="1"/>
    <col min="6147" max="6147" width="7.125" style="38" customWidth="1"/>
    <col min="6148" max="6148" width="4.375" style="38" customWidth="1"/>
    <col min="6149" max="6151" width="9.375" style="38" customWidth="1"/>
    <col min="6152" max="6394" width="8" style="38"/>
    <col min="6395" max="6395" width="1" style="38" customWidth="1"/>
    <col min="6396" max="6396" width="16.25" style="38" customWidth="1"/>
    <col min="6397" max="6397" width="18.625" style="38" customWidth="1"/>
    <col min="6398" max="6398" width="6" style="38" customWidth="1"/>
    <col min="6399" max="6399" width="15.875" style="38" customWidth="1"/>
    <col min="6400" max="6400" width="10.375" style="38" customWidth="1"/>
    <col min="6401" max="6401" width="32.125" style="38" customWidth="1"/>
    <col min="6402" max="6402" width="13.625" style="38" customWidth="1"/>
    <col min="6403" max="6403" width="7.125" style="38" customWidth="1"/>
    <col min="6404" max="6404" width="4.375" style="38" customWidth="1"/>
    <col min="6405" max="6407" width="9.375" style="38" customWidth="1"/>
    <col min="6408" max="6650" width="8" style="38"/>
    <col min="6651" max="6651" width="1" style="38" customWidth="1"/>
    <col min="6652" max="6652" width="16.25" style="38" customWidth="1"/>
    <col min="6653" max="6653" width="18.625" style="38" customWidth="1"/>
    <col min="6654" max="6654" width="6" style="38" customWidth="1"/>
    <col min="6655" max="6655" width="15.875" style="38" customWidth="1"/>
    <col min="6656" max="6656" width="10.375" style="38" customWidth="1"/>
    <col min="6657" max="6657" width="32.125" style="38" customWidth="1"/>
    <col min="6658" max="6658" width="13.625" style="38" customWidth="1"/>
    <col min="6659" max="6659" width="7.125" style="38" customWidth="1"/>
    <col min="6660" max="6660" width="4.375" style="38" customWidth="1"/>
    <col min="6661" max="6663" width="9.375" style="38" customWidth="1"/>
    <col min="6664" max="6906" width="8" style="38"/>
    <col min="6907" max="6907" width="1" style="38" customWidth="1"/>
    <col min="6908" max="6908" width="16.25" style="38" customWidth="1"/>
    <col min="6909" max="6909" width="18.625" style="38" customWidth="1"/>
    <col min="6910" max="6910" width="6" style="38" customWidth="1"/>
    <col min="6911" max="6911" width="15.875" style="38" customWidth="1"/>
    <col min="6912" max="6912" width="10.375" style="38" customWidth="1"/>
    <col min="6913" max="6913" width="32.125" style="38" customWidth="1"/>
    <col min="6914" max="6914" width="13.625" style="38" customWidth="1"/>
    <col min="6915" max="6915" width="7.125" style="38" customWidth="1"/>
    <col min="6916" max="6916" width="4.375" style="38" customWidth="1"/>
    <col min="6917" max="6919" width="9.375" style="38" customWidth="1"/>
    <col min="6920" max="7162" width="8" style="38"/>
    <col min="7163" max="7163" width="1" style="38" customWidth="1"/>
    <col min="7164" max="7164" width="16.25" style="38" customWidth="1"/>
    <col min="7165" max="7165" width="18.625" style="38" customWidth="1"/>
    <col min="7166" max="7166" width="6" style="38" customWidth="1"/>
    <col min="7167" max="7167" width="15.875" style="38" customWidth="1"/>
    <col min="7168" max="7168" width="10.375" style="38" customWidth="1"/>
    <col min="7169" max="7169" width="32.125" style="38" customWidth="1"/>
    <col min="7170" max="7170" width="13.625" style="38" customWidth="1"/>
    <col min="7171" max="7171" width="7.125" style="38" customWidth="1"/>
    <col min="7172" max="7172" width="4.375" style="38" customWidth="1"/>
    <col min="7173" max="7175" width="9.375" style="38" customWidth="1"/>
    <col min="7176" max="7418" width="8" style="38"/>
    <col min="7419" max="7419" width="1" style="38" customWidth="1"/>
    <col min="7420" max="7420" width="16.25" style="38" customWidth="1"/>
    <col min="7421" max="7421" width="18.625" style="38" customWidth="1"/>
    <col min="7422" max="7422" width="6" style="38" customWidth="1"/>
    <col min="7423" max="7423" width="15.875" style="38" customWidth="1"/>
    <col min="7424" max="7424" width="10.375" style="38" customWidth="1"/>
    <col min="7425" max="7425" width="32.125" style="38" customWidth="1"/>
    <col min="7426" max="7426" width="13.625" style="38" customWidth="1"/>
    <col min="7427" max="7427" width="7.125" style="38" customWidth="1"/>
    <col min="7428" max="7428" width="4.375" style="38" customWidth="1"/>
    <col min="7429" max="7431" width="9.375" style="38" customWidth="1"/>
    <col min="7432" max="7674" width="8" style="38"/>
    <col min="7675" max="7675" width="1" style="38" customWidth="1"/>
    <col min="7676" max="7676" width="16.25" style="38" customWidth="1"/>
    <col min="7677" max="7677" width="18.625" style="38" customWidth="1"/>
    <col min="7678" max="7678" width="6" style="38" customWidth="1"/>
    <col min="7679" max="7679" width="15.875" style="38" customWidth="1"/>
    <col min="7680" max="7680" width="10.375" style="38" customWidth="1"/>
    <col min="7681" max="7681" width="32.125" style="38" customWidth="1"/>
    <col min="7682" max="7682" width="13.625" style="38" customWidth="1"/>
    <col min="7683" max="7683" width="7.125" style="38" customWidth="1"/>
    <col min="7684" max="7684" width="4.375" style="38" customWidth="1"/>
    <col min="7685" max="7687" width="9.375" style="38" customWidth="1"/>
    <col min="7688" max="7930" width="8" style="38"/>
    <col min="7931" max="7931" width="1" style="38" customWidth="1"/>
    <col min="7932" max="7932" width="16.25" style="38" customWidth="1"/>
    <col min="7933" max="7933" width="18.625" style="38" customWidth="1"/>
    <col min="7934" max="7934" width="6" style="38" customWidth="1"/>
    <col min="7935" max="7935" width="15.875" style="38" customWidth="1"/>
    <col min="7936" max="7936" width="10.375" style="38" customWidth="1"/>
    <col min="7937" max="7937" width="32.125" style="38" customWidth="1"/>
    <col min="7938" max="7938" width="13.625" style="38" customWidth="1"/>
    <col min="7939" max="7939" width="7.125" style="38" customWidth="1"/>
    <col min="7940" max="7940" width="4.375" style="38" customWidth="1"/>
    <col min="7941" max="7943" width="9.375" style="38" customWidth="1"/>
    <col min="7944" max="8186" width="8" style="38"/>
    <col min="8187" max="8187" width="1" style="38" customWidth="1"/>
    <col min="8188" max="8188" width="16.25" style="38" customWidth="1"/>
    <col min="8189" max="8189" width="18.625" style="38" customWidth="1"/>
    <col min="8190" max="8190" width="6" style="38" customWidth="1"/>
    <col min="8191" max="8191" width="15.875" style="38" customWidth="1"/>
    <col min="8192" max="8192" width="10.375" style="38" customWidth="1"/>
    <col min="8193" max="8193" width="32.125" style="38" customWidth="1"/>
    <col min="8194" max="8194" width="13.625" style="38" customWidth="1"/>
    <col min="8195" max="8195" width="7.125" style="38" customWidth="1"/>
    <col min="8196" max="8196" width="4.375" style="38" customWidth="1"/>
    <col min="8197" max="8199" width="9.375" style="38" customWidth="1"/>
    <col min="8200" max="8442" width="8" style="38"/>
    <col min="8443" max="8443" width="1" style="38" customWidth="1"/>
    <col min="8444" max="8444" width="16.25" style="38" customWidth="1"/>
    <col min="8445" max="8445" width="18.625" style="38" customWidth="1"/>
    <col min="8446" max="8446" width="6" style="38" customWidth="1"/>
    <col min="8447" max="8447" width="15.875" style="38" customWidth="1"/>
    <col min="8448" max="8448" width="10.375" style="38" customWidth="1"/>
    <col min="8449" max="8449" width="32.125" style="38" customWidth="1"/>
    <col min="8450" max="8450" width="13.625" style="38" customWidth="1"/>
    <col min="8451" max="8451" width="7.125" style="38" customWidth="1"/>
    <col min="8452" max="8452" width="4.375" style="38" customWidth="1"/>
    <col min="8453" max="8455" width="9.375" style="38" customWidth="1"/>
    <col min="8456" max="8698" width="8" style="38"/>
    <col min="8699" max="8699" width="1" style="38" customWidth="1"/>
    <col min="8700" max="8700" width="16.25" style="38" customWidth="1"/>
    <col min="8701" max="8701" width="18.625" style="38" customWidth="1"/>
    <col min="8702" max="8702" width="6" style="38" customWidth="1"/>
    <col min="8703" max="8703" width="15.875" style="38" customWidth="1"/>
    <col min="8704" max="8704" width="10.375" style="38" customWidth="1"/>
    <col min="8705" max="8705" width="32.125" style="38" customWidth="1"/>
    <col min="8706" max="8706" width="13.625" style="38" customWidth="1"/>
    <col min="8707" max="8707" width="7.125" style="38" customWidth="1"/>
    <col min="8708" max="8708" width="4.375" style="38" customWidth="1"/>
    <col min="8709" max="8711" width="9.375" style="38" customWidth="1"/>
    <col min="8712" max="8954" width="8" style="38"/>
    <col min="8955" max="8955" width="1" style="38" customWidth="1"/>
    <col min="8956" max="8956" width="16.25" style="38" customWidth="1"/>
    <col min="8957" max="8957" width="18.625" style="38" customWidth="1"/>
    <col min="8958" max="8958" width="6" style="38" customWidth="1"/>
    <col min="8959" max="8959" width="15.875" style="38" customWidth="1"/>
    <col min="8960" max="8960" width="10.375" style="38" customWidth="1"/>
    <col min="8961" max="8961" width="32.125" style="38" customWidth="1"/>
    <col min="8962" max="8962" width="13.625" style="38" customWidth="1"/>
    <col min="8963" max="8963" width="7.125" style="38" customWidth="1"/>
    <col min="8964" max="8964" width="4.375" style="38" customWidth="1"/>
    <col min="8965" max="8967" width="9.375" style="38" customWidth="1"/>
    <col min="8968" max="9210" width="8" style="38"/>
    <col min="9211" max="9211" width="1" style="38" customWidth="1"/>
    <col min="9212" max="9212" width="16.25" style="38" customWidth="1"/>
    <col min="9213" max="9213" width="18.625" style="38" customWidth="1"/>
    <col min="9214" max="9214" width="6" style="38" customWidth="1"/>
    <col min="9215" max="9215" width="15.875" style="38" customWidth="1"/>
    <col min="9216" max="9216" width="10.375" style="38" customWidth="1"/>
    <col min="9217" max="9217" width="32.125" style="38" customWidth="1"/>
    <col min="9218" max="9218" width="13.625" style="38" customWidth="1"/>
    <col min="9219" max="9219" width="7.125" style="38" customWidth="1"/>
    <col min="9220" max="9220" width="4.375" style="38" customWidth="1"/>
    <col min="9221" max="9223" width="9.375" style="38" customWidth="1"/>
    <col min="9224" max="9466" width="8" style="38"/>
    <col min="9467" max="9467" width="1" style="38" customWidth="1"/>
    <col min="9468" max="9468" width="16.25" style="38" customWidth="1"/>
    <col min="9469" max="9469" width="18.625" style="38" customWidth="1"/>
    <col min="9470" max="9470" width="6" style="38" customWidth="1"/>
    <col min="9471" max="9471" width="15.875" style="38" customWidth="1"/>
    <col min="9472" max="9472" width="10.375" style="38" customWidth="1"/>
    <col min="9473" max="9473" width="32.125" style="38" customWidth="1"/>
    <col min="9474" max="9474" width="13.625" style="38" customWidth="1"/>
    <col min="9475" max="9475" width="7.125" style="38" customWidth="1"/>
    <col min="9476" max="9476" width="4.375" style="38" customWidth="1"/>
    <col min="9477" max="9479" width="9.375" style="38" customWidth="1"/>
    <col min="9480" max="9722" width="8" style="38"/>
    <col min="9723" max="9723" width="1" style="38" customWidth="1"/>
    <col min="9724" max="9724" width="16.25" style="38" customWidth="1"/>
    <col min="9725" max="9725" width="18.625" style="38" customWidth="1"/>
    <col min="9726" max="9726" width="6" style="38" customWidth="1"/>
    <col min="9727" max="9727" width="15.875" style="38" customWidth="1"/>
    <col min="9728" max="9728" width="10.375" style="38" customWidth="1"/>
    <col min="9729" max="9729" width="32.125" style="38" customWidth="1"/>
    <col min="9730" max="9730" width="13.625" style="38" customWidth="1"/>
    <col min="9731" max="9731" width="7.125" style="38" customWidth="1"/>
    <col min="9732" max="9732" width="4.375" style="38" customWidth="1"/>
    <col min="9733" max="9735" width="9.375" style="38" customWidth="1"/>
    <col min="9736" max="9978" width="8" style="38"/>
    <col min="9979" max="9979" width="1" style="38" customWidth="1"/>
    <col min="9980" max="9980" width="16.25" style="38" customWidth="1"/>
    <col min="9981" max="9981" width="18.625" style="38" customWidth="1"/>
    <col min="9982" max="9982" width="6" style="38" customWidth="1"/>
    <col min="9983" max="9983" width="15.875" style="38" customWidth="1"/>
    <col min="9984" max="9984" width="10.375" style="38" customWidth="1"/>
    <col min="9985" max="9985" width="32.125" style="38" customWidth="1"/>
    <col min="9986" max="9986" width="13.625" style="38" customWidth="1"/>
    <col min="9987" max="9987" width="7.125" style="38" customWidth="1"/>
    <col min="9988" max="9988" width="4.375" style="38" customWidth="1"/>
    <col min="9989" max="9991" width="9.375" style="38" customWidth="1"/>
    <col min="9992" max="10234" width="8" style="38"/>
    <col min="10235" max="10235" width="1" style="38" customWidth="1"/>
    <col min="10236" max="10236" width="16.25" style="38" customWidth="1"/>
    <col min="10237" max="10237" width="18.625" style="38" customWidth="1"/>
    <col min="10238" max="10238" width="6" style="38" customWidth="1"/>
    <col min="10239" max="10239" width="15.875" style="38" customWidth="1"/>
    <col min="10240" max="10240" width="10.375" style="38" customWidth="1"/>
    <col min="10241" max="10241" width="32.125" style="38" customWidth="1"/>
    <col min="10242" max="10242" width="13.625" style="38" customWidth="1"/>
    <col min="10243" max="10243" width="7.125" style="38" customWidth="1"/>
    <col min="10244" max="10244" width="4.375" style="38" customWidth="1"/>
    <col min="10245" max="10247" width="9.375" style="38" customWidth="1"/>
    <col min="10248" max="10490" width="8" style="38"/>
    <col min="10491" max="10491" width="1" style="38" customWidth="1"/>
    <col min="10492" max="10492" width="16.25" style="38" customWidth="1"/>
    <col min="10493" max="10493" width="18.625" style="38" customWidth="1"/>
    <col min="10494" max="10494" width="6" style="38" customWidth="1"/>
    <col min="10495" max="10495" width="15.875" style="38" customWidth="1"/>
    <col min="10496" max="10496" width="10.375" style="38" customWidth="1"/>
    <col min="10497" max="10497" width="32.125" style="38" customWidth="1"/>
    <col min="10498" max="10498" width="13.625" style="38" customWidth="1"/>
    <col min="10499" max="10499" width="7.125" style="38" customWidth="1"/>
    <col min="10500" max="10500" width="4.375" style="38" customWidth="1"/>
    <col min="10501" max="10503" width="9.375" style="38" customWidth="1"/>
    <col min="10504" max="10746" width="8" style="38"/>
    <col min="10747" max="10747" width="1" style="38" customWidth="1"/>
    <col min="10748" max="10748" width="16.25" style="38" customWidth="1"/>
    <col min="10749" max="10749" width="18.625" style="38" customWidth="1"/>
    <col min="10750" max="10750" width="6" style="38" customWidth="1"/>
    <col min="10751" max="10751" width="15.875" style="38" customWidth="1"/>
    <col min="10752" max="10752" width="10.375" style="38" customWidth="1"/>
    <col min="10753" max="10753" width="32.125" style="38" customWidth="1"/>
    <col min="10754" max="10754" width="13.625" style="38" customWidth="1"/>
    <col min="10755" max="10755" width="7.125" style="38" customWidth="1"/>
    <col min="10756" max="10756" width="4.375" style="38" customWidth="1"/>
    <col min="10757" max="10759" width="9.375" style="38" customWidth="1"/>
    <col min="10760" max="11002" width="8" style="38"/>
    <col min="11003" max="11003" width="1" style="38" customWidth="1"/>
    <col min="11004" max="11004" width="16.25" style="38" customWidth="1"/>
    <col min="11005" max="11005" width="18.625" style="38" customWidth="1"/>
    <col min="11006" max="11006" width="6" style="38" customWidth="1"/>
    <col min="11007" max="11007" width="15.875" style="38" customWidth="1"/>
    <col min="11008" max="11008" width="10.375" style="38" customWidth="1"/>
    <col min="11009" max="11009" width="32.125" style="38" customWidth="1"/>
    <col min="11010" max="11010" width="13.625" style="38" customWidth="1"/>
    <col min="11011" max="11011" width="7.125" style="38" customWidth="1"/>
    <col min="11012" max="11012" width="4.375" style="38" customWidth="1"/>
    <col min="11013" max="11015" width="9.375" style="38" customWidth="1"/>
    <col min="11016" max="11258" width="8" style="38"/>
    <col min="11259" max="11259" width="1" style="38" customWidth="1"/>
    <col min="11260" max="11260" width="16.25" style="38" customWidth="1"/>
    <col min="11261" max="11261" width="18.625" style="38" customWidth="1"/>
    <col min="11262" max="11262" width="6" style="38" customWidth="1"/>
    <col min="11263" max="11263" width="15.875" style="38" customWidth="1"/>
    <col min="11264" max="11264" width="10.375" style="38" customWidth="1"/>
    <col min="11265" max="11265" width="32.125" style="38" customWidth="1"/>
    <col min="11266" max="11266" width="13.625" style="38" customWidth="1"/>
    <col min="11267" max="11267" width="7.125" style="38" customWidth="1"/>
    <col min="11268" max="11268" width="4.375" style="38" customWidth="1"/>
    <col min="11269" max="11271" width="9.375" style="38" customWidth="1"/>
    <col min="11272" max="11514" width="8" style="38"/>
    <col min="11515" max="11515" width="1" style="38" customWidth="1"/>
    <col min="11516" max="11516" width="16.25" style="38" customWidth="1"/>
    <col min="11517" max="11517" width="18.625" style="38" customWidth="1"/>
    <col min="11518" max="11518" width="6" style="38" customWidth="1"/>
    <col min="11519" max="11519" width="15.875" style="38" customWidth="1"/>
    <col min="11520" max="11520" width="10.375" style="38" customWidth="1"/>
    <col min="11521" max="11521" width="32.125" style="38" customWidth="1"/>
    <col min="11522" max="11522" width="13.625" style="38" customWidth="1"/>
    <col min="11523" max="11523" width="7.125" style="38" customWidth="1"/>
    <col min="11524" max="11524" width="4.375" style="38" customWidth="1"/>
    <col min="11525" max="11527" width="9.375" style="38" customWidth="1"/>
    <col min="11528" max="11770" width="8" style="38"/>
    <col min="11771" max="11771" width="1" style="38" customWidth="1"/>
    <col min="11772" max="11772" width="16.25" style="38" customWidth="1"/>
    <col min="11773" max="11773" width="18.625" style="38" customWidth="1"/>
    <col min="11774" max="11774" width="6" style="38" customWidth="1"/>
    <col min="11775" max="11775" width="15.875" style="38" customWidth="1"/>
    <col min="11776" max="11776" width="10.375" style="38" customWidth="1"/>
    <col min="11777" max="11777" width="32.125" style="38" customWidth="1"/>
    <col min="11778" max="11778" width="13.625" style="38" customWidth="1"/>
    <col min="11779" max="11779" width="7.125" style="38" customWidth="1"/>
    <col min="11780" max="11780" width="4.375" style="38" customWidth="1"/>
    <col min="11781" max="11783" width="9.375" style="38" customWidth="1"/>
    <col min="11784" max="12026" width="8" style="38"/>
    <col min="12027" max="12027" width="1" style="38" customWidth="1"/>
    <col min="12028" max="12028" width="16.25" style="38" customWidth="1"/>
    <col min="12029" max="12029" width="18.625" style="38" customWidth="1"/>
    <col min="12030" max="12030" width="6" style="38" customWidth="1"/>
    <col min="12031" max="12031" width="15.875" style="38" customWidth="1"/>
    <col min="12032" max="12032" width="10.375" style="38" customWidth="1"/>
    <col min="12033" max="12033" width="32.125" style="38" customWidth="1"/>
    <col min="12034" max="12034" width="13.625" style="38" customWidth="1"/>
    <col min="12035" max="12035" width="7.125" style="38" customWidth="1"/>
    <col min="12036" max="12036" width="4.375" style="38" customWidth="1"/>
    <col min="12037" max="12039" width="9.375" style="38" customWidth="1"/>
    <col min="12040" max="12282" width="8" style="38"/>
    <col min="12283" max="12283" width="1" style="38" customWidth="1"/>
    <col min="12284" max="12284" width="16.25" style="38" customWidth="1"/>
    <col min="12285" max="12285" width="18.625" style="38" customWidth="1"/>
    <col min="12286" max="12286" width="6" style="38" customWidth="1"/>
    <col min="12287" max="12287" width="15.875" style="38" customWidth="1"/>
    <col min="12288" max="12288" width="10.375" style="38" customWidth="1"/>
    <col min="12289" max="12289" width="32.125" style="38" customWidth="1"/>
    <col min="12290" max="12290" width="13.625" style="38" customWidth="1"/>
    <col min="12291" max="12291" width="7.125" style="38" customWidth="1"/>
    <col min="12292" max="12292" width="4.375" style="38" customWidth="1"/>
    <col min="12293" max="12295" width="9.375" style="38" customWidth="1"/>
    <col min="12296" max="12538" width="8" style="38"/>
    <col min="12539" max="12539" width="1" style="38" customWidth="1"/>
    <col min="12540" max="12540" width="16.25" style="38" customWidth="1"/>
    <col min="12541" max="12541" width="18.625" style="38" customWidth="1"/>
    <col min="12542" max="12542" width="6" style="38" customWidth="1"/>
    <col min="12543" max="12543" width="15.875" style="38" customWidth="1"/>
    <col min="12544" max="12544" width="10.375" style="38" customWidth="1"/>
    <col min="12545" max="12545" width="32.125" style="38" customWidth="1"/>
    <col min="12546" max="12546" width="13.625" style="38" customWidth="1"/>
    <col min="12547" max="12547" width="7.125" style="38" customWidth="1"/>
    <col min="12548" max="12548" width="4.375" style="38" customWidth="1"/>
    <col min="12549" max="12551" width="9.375" style="38" customWidth="1"/>
    <col min="12552" max="12794" width="8" style="38"/>
    <col min="12795" max="12795" width="1" style="38" customWidth="1"/>
    <col min="12796" max="12796" width="16.25" style="38" customWidth="1"/>
    <col min="12797" max="12797" width="18.625" style="38" customWidth="1"/>
    <col min="12798" max="12798" width="6" style="38" customWidth="1"/>
    <col min="12799" max="12799" width="15.875" style="38" customWidth="1"/>
    <col min="12800" max="12800" width="10.375" style="38" customWidth="1"/>
    <col min="12801" max="12801" width="32.125" style="38" customWidth="1"/>
    <col min="12802" max="12802" width="13.625" style="38" customWidth="1"/>
    <col min="12803" max="12803" width="7.125" style="38" customWidth="1"/>
    <col min="12804" max="12804" width="4.375" style="38" customWidth="1"/>
    <col min="12805" max="12807" width="9.375" style="38" customWidth="1"/>
    <col min="12808" max="13050" width="8" style="38"/>
    <col min="13051" max="13051" width="1" style="38" customWidth="1"/>
    <col min="13052" max="13052" width="16.25" style="38" customWidth="1"/>
    <col min="13053" max="13053" width="18.625" style="38" customWidth="1"/>
    <col min="13054" max="13054" width="6" style="38" customWidth="1"/>
    <col min="13055" max="13055" width="15.875" style="38" customWidth="1"/>
    <col min="13056" max="13056" width="10.375" style="38" customWidth="1"/>
    <col min="13057" max="13057" width="32.125" style="38" customWidth="1"/>
    <col min="13058" max="13058" width="13.625" style="38" customWidth="1"/>
    <col min="13059" max="13059" width="7.125" style="38" customWidth="1"/>
    <col min="13060" max="13060" width="4.375" style="38" customWidth="1"/>
    <col min="13061" max="13063" width="9.375" style="38" customWidth="1"/>
    <col min="13064" max="13306" width="8" style="38"/>
    <col min="13307" max="13307" width="1" style="38" customWidth="1"/>
    <col min="13308" max="13308" width="16.25" style="38" customWidth="1"/>
    <col min="13309" max="13309" width="18.625" style="38" customWidth="1"/>
    <col min="13310" max="13310" width="6" style="38" customWidth="1"/>
    <col min="13311" max="13311" width="15.875" style="38" customWidth="1"/>
    <col min="13312" max="13312" width="10.375" style="38" customWidth="1"/>
    <col min="13313" max="13313" width="32.125" style="38" customWidth="1"/>
    <col min="13314" max="13314" width="13.625" style="38" customWidth="1"/>
    <col min="13315" max="13315" width="7.125" style="38" customWidth="1"/>
    <col min="13316" max="13316" width="4.375" style="38" customWidth="1"/>
    <col min="13317" max="13319" width="9.375" style="38" customWidth="1"/>
    <col min="13320" max="13562" width="8" style="38"/>
    <col min="13563" max="13563" width="1" style="38" customWidth="1"/>
    <col min="13564" max="13564" width="16.25" style="38" customWidth="1"/>
    <col min="13565" max="13565" width="18.625" style="38" customWidth="1"/>
    <col min="13566" max="13566" width="6" style="38" customWidth="1"/>
    <col min="13567" max="13567" width="15.875" style="38" customWidth="1"/>
    <col min="13568" max="13568" width="10.375" style="38" customWidth="1"/>
    <col min="13569" max="13569" width="32.125" style="38" customWidth="1"/>
    <col min="13570" max="13570" width="13.625" style="38" customWidth="1"/>
    <col min="13571" max="13571" width="7.125" style="38" customWidth="1"/>
    <col min="13572" max="13572" width="4.375" style="38" customWidth="1"/>
    <col min="13573" max="13575" width="9.375" style="38" customWidth="1"/>
    <col min="13576" max="13818" width="8" style="38"/>
    <col min="13819" max="13819" width="1" style="38" customWidth="1"/>
    <col min="13820" max="13820" width="16.25" style="38" customWidth="1"/>
    <col min="13821" max="13821" width="18.625" style="38" customWidth="1"/>
    <col min="13822" max="13822" width="6" style="38" customWidth="1"/>
    <col min="13823" max="13823" width="15.875" style="38" customWidth="1"/>
    <col min="13824" max="13824" width="10.375" style="38" customWidth="1"/>
    <col min="13825" max="13825" width="32.125" style="38" customWidth="1"/>
    <col min="13826" max="13826" width="13.625" style="38" customWidth="1"/>
    <col min="13827" max="13827" width="7.125" style="38" customWidth="1"/>
    <col min="13828" max="13828" width="4.375" style="38" customWidth="1"/>
    <col min="13829" max="13831" width="9.375" style="38" customWidth="1"/>
    <col min="13832" max="14074" width="8" style="38"/>
    <col min="14075" max="14075" width="1" style="38" customWidth="1"/>
    <col min="14076" max="14076" width="16.25" style="38" customWidth="1"/>
    <col min="14077" max="14077" width="18.625" style="38" customWidth="1"/>
    <col min="14078" max="14078" width="6" style="38" customWidth="1"/>
    <col min="14079" max="14079" width="15.875" style="38" customWidth="1"/>
    <col min="14080" max="14080" width="10.375" style="38" customWidth="1"/>
    <col min="14081" max="14081" width="32.125" style="38" customWidth="1"/>
    <col min="14082" max="14082" width="13.625" style="38" customWidth="1"/>
    <col min="14083" max="14083" width="7.125" style="38" customWidth="1"/>
    <col min="14084" max="14084" width="4.375" style="38" customWidth="1"/>
    <col min="14085" max="14087" width="9.375" style="38" customWidth="1"/>
    <col min="14088" max="14330" width="8" style="38"/>
    <col min="14331" max="14331" width="1" style="38" customWidth="1"/>
    <col min="14332" max="14332" width="16.25" style="38" customWidth="1"/>
    <col min="14333" max="14333" width="18.625" style="38" customWidth="1"/>
    <col min="14334" max="14334" width="6" style="38" customWidth="1"/>
    <col min="14335" max="14335" width="15.875" style="38" customWidth="1"/>
    <col min="14336" max="14336" width="10.375" style="38" customWidth="1"/>
    <col min="14337" max="14337" width="32.125" style="38" customWidth="1"/>
    <col min="14338" max="14338" width="13.625" style="38" customWidth="1"/>
    <col min="14339" max="14339" width="7.125" style="38" customWidth="1"/>
    <col min="14340" max="14340" width="4.375" style="38" customWidth="1"/>
    <col min="14341" max="14343" width="9.375" style="38" customWidth="1"/>
    <col min="14344" max="14586" width="8" style="38"/>
    <col min="14587" max="14587" width="1" style="38" customWidth="1"/>
    <col min="14588" max="14588" width="16.25" style="38" customWidth="1"/>
    <col min="14589" max="14589" width="18.625" style="38" customWidth="1"/>
    <col min="14590" max="14590" width="6" style="38" customWidth="1"/>
    <col min="14591" max="14591" width="15.875" style="38" customWidth="1"/>
    <col min="14592" max="14592" width="10.375" style="38" customWidth="1"/>
    <col min="14593" max="14593" width="32.125" style="38" customWidth="1"/>
    <col min="14594" max="14594" width="13.625" style="38" customWidth="1"/>
    <col min="14595" max="14595" width="7.125" style="38" customWidth="1"/>
    <col min="14596" max="14596" width="4.375" style="38" customWidth="1"/>
    <col min="14597" max="14599" width="9.375" style="38" customWidth="1"/>
    <col min="14600" max="14842" width="8" style="38"/>
    <col min="14843" max="14843" width="1" style="38" customWidth="1"/>
    <col min="14844" max="14844" width="16.25" style="38" customWidth="1"/>
    <col min="14845" max="14845" width="18.625" style="38" customWidth="1"/>
    <col min="14846" max="14846" width="6" style="38" customWidth="1"/>
    <col min="14847" max="14847" width="15.875" style="38" customWidth="1"/>
    <col min="14848" max="14848" width="10.375" style="38" customWidth="1"/>
    <col min="14849" max="14849" width="32.125" style="38" customWidth="1"/>
    <col min="14850" max="14850" width="13.625" style="38" customWidth="1"/>
    <col min="14851" max="14851" width="7.125" style="38" customWidth="1"/>
    <col min="14852" max="14852" width="4.375" style="38" customWidth="1"/>
    <col min="14853" max="14855" width="9.375" style="38" customWidth="1"/>
    <col min="14856" max="15098" width="8" style="38"/>
    <col min="15099" max="15099" width="1" style="38" customWidth="1"/>
    <col min="15100" max="15100" width="16.25" style="38" customWidth="1"/>
    <col min="15101" max="15101" width="18.625" style="38" customWidth="1"/>
    <col min="15102" max="15102" width="6" style="38" customWidth="1"/>
    <col min="15103" max="15103" width="15.875" style="38" customWidth="1"/>
    <col min="15104" max="15104" width="10.375" style="38" customWidth="1"/>
    <col min="15105" max="15105" width="32.125" style="38" customWidth="1"/>
    <col min="15106" max="15106" width="13.625" style="38" customWidth="1"/>
    <col min="15107" max="15107" width="7.125" style="38" customWidth="1"/>
    <col min="15108" max="15108" width="4.375" style="38" customWidth="1"/>
    <col min="15109" max="15111" width="9.375" style="38" customWidth="1"/>
    <col min="15112" max="15354" width="8" style="38"/>
    <col min="15355" max="15355" width="1" style="38" customWidth="1"/>
    <col min="15356" max="15356" width="16.25" style="38" customWidth="1"/>
    <col min="15357" max="15357" width="18.625" style="38" customWidth="1"/>
    <col min="15358" max="15358" width="6" style="38" customWidth="1"/>
    <col min="15359" max="15359" width="15.875" style="38" customWidth="1"/>
    <col min="15360" max="15360" width="10.375" style="38" customWidth="1"/>
    <col min="15361" max="15361" width="32.125" style="38" customWidth="1"/>
    <col min="15362" max="15362" width="13.625" style="38" customWidth="1"/>
    <col min="15363" max="15363" width="7.125" style="38" customWidth="1"/>
    <col min="15364" max="15364" width="4.375" style="38" customWidth="1"/>
    <col min="15365" max="15367" width="9.375" style="38" customWidth="1"/>
    <col min="15368" max="15610" width="8" style="38"/>
    <col min="15611" max="15611" width="1" style="38" customWidth="1"/>
    <col min="15612" max="15612" width="16.25" style="38" customWidth="1"/>
    <col min="15613" max="15613" width="18.625" style="38" customWidth="1"/>
    <col min="15614" max="15614" width="6" style="38" customWidth="1"/>
    <col min="15615" max="15615" width="15.875" style="38" customWidth="1"/>
    <col min="15616" max="15616" width="10.375" style="38" customWidth="1"/>
    <col min="15617" max="15617" width="32.125" style="38" customWidth="1"/>
    <col min="15618" max="15618" width="13.625" style="38" customWidth="1"/>
    <col min="15619" max="15619" width="7.125" style="38" customWidth="1"/>
    <col min="15620" max="15620" width="4.375" style="38" customWidth="1"/>
    <col min="15621" max="15623" width="9.375" style="38" customWidth="1"/>
    <col min="15624" max="15866" width="8" style="38"/>
    <col min="15867" max="15867" width="1" style="38" customWidth="1"/>
    <col min="15868" max="15868" width="16.25" style="38" customWidth="1"/>
    <col min="15869" max="15869" width="18.625" style="38" customWidth="1"/>
    <col min="15870" max="15870" width="6" style="38" customWidth="1"/>
    <col min="15871" max="15871" width="15.875" style="38" customWidth="1"/>
    <col min="15872" max="15872" width="10.375" style="38" customWidth="1"/>
    <col min="15873" max="15873" width="32.125" style="38" customWidth="1"/>
    <col min="15874" max="15874" width="13.625" style="38" customWidth="1"/>
    <col min="15875" max="15875" width="7.125" style="38" customWidth="1"/>
    <col min="15876" max="15876" width="4.375" style="38" customWidth="1"/>
    <col min="15877" max="15879" width="9.375" style="38" customWidth="1"/>
    <col min="15880" max="16122" width="8" style="38"/>
    <col min="16123" max="16123" width="1" style="38" customWidth="1"/>
    <col min="16124" max="16124" width="16.25" style="38" customWidth="1"/>
    <col min="16125" max="16125" width="18.625" style="38" customWidth="1"/>
    <col min="16126" max="16126" width="6" style="38" customWidth="1"/>
    <col min="16127" max="16127" width="15.875" style="38" customWidth="1"/>
    <col min="16128" max="16128" width="10.375" style="38" customWidth="1"/>
    <col min="16129" max="16129" width="32.125" style="38" customWidth="1"/>
    <col min="16130" max="16130" width="13.625" style="38" customWidth="1"/>
    <col min="16131" max="16131" width="7.125" style="38" customWidth="1"/>
    <col min="16132" max="16132" width="4.375" style="38" customWidth="1"/>
    <col min="16133" max="16135" width="9.375" style="38" customWidth="1"/>
    <col min="16136" max="16384" width="9" style="38"/>
  </cols>
  <sheetData>
    <row r="1" spans="1:11" ht="36" customHeight="1" x14ac:dyDescent="0.2">
      <c r="B1" s="43" t="s">
        <v>68</v>
      </c>
      <c r="C1" s="446" t="str">
        <f>'0.Page d''accueil'!F5</f>
        <v>Municipalité de référence</v>
      </c>
      <c r="D1" s="446"/>
      <c r="E1" s="54"/>
    </row>
    <row r="2" spans="1:11" ht="45" customHeight="1" x14ac:dyDescent="0.2">
      <c r="B2" s="26" t="s">
        <v>143</v>
      </c>
      <c r="C2" s="425" t="s">
        <v>164</v>
      </c>
      <c r="D2" s="425"/>
      <c r="E2" s="425"/>
      <c r="F2" s="425"/>
    </row>
    <row r="3" spans="1:11" ht="15" customHeight="1" x14ac:dyDescent="0.25">
      <c r="E3" s="56">
        <v>0.4</v>
      </c>
    </row>
    <row r="4" spans="1:11" ht="42.75" customHeight="1" x14ac:dyDescent="0.2">
      <c r="B4" s="243" t="s">
        <v>165</v>
      </c>
      <c r="C4" s="244" t="s">
        <v>166</v>
      </c>
      <c r="D4" s="142" t="s">
        <v>167</v>
      </c>
      <c r="E4" s="142" t="s">
        <v>7</v>
      </c>
      <c r="F4" s="143" t="s">
        <v>168</v>
      </c>
      <c r="G4" s="144" t="s">
        <v>103</v>
      </c>
      <c r="I4" s="38" t="e">
        <f>#REF!</f>
        <v>#REF!</v>
      </c>
      <c r="J4" s="38" t="e">
        <f>#REF!</f>
        <v>#REF!</v>
      </c>
      <c r="K4" s="38" t="s">
        <v>6</v>
      </c>
    </row>
    <row r="5" spans="1:11" ht="42.75" customHeight="1" x14ac:dyDescent="0.2">
      <c r="B5" s="292">
        <v>42678</v>
      </c>
      <c r="C5" s="292">
        <v>42700</v>
      </c>
      <c r="D5" s="133" t="s">
        <v>213</v>
      </c>
      <c r="E5" s="133" t="s">
        <v>215</v>
      </c>
      <c r="F5" s="134">
        <v>4000</v>
      </c>
      <c r="G5" s="135">
        <v>879</v>
      </c>
      <c r="I5" s="38" t="e">
        <f>#REF!</f>
        <v>#REF!</v>
      </c>
      <c r="J5" s="57" t="e">
        <f>#REF!</f>
        <v>#REF!</v>
      </c>
      <c r="K5" s="57" t="e">
        <f>SUMIF($H$5:$H$9,I5,$I$5:$I$9)</f>
        <v>#REF!</v>
      </c>
    </row>
    <row r="6" spans="1:11" ht="60.75" customHeight="1" x14ac:dyDescent="0.2">
      <c r="A6" s="382" t="s">
        <v>15</v>
      </c>
      <c r="B6" s="292">
        <v>42756</v>
      </c>
      <c r="C6" s="292">
        <v>42756</v>
      </c>
      <c r="D6" s="136" t="s">
        <v>214</v>
      </c>
      <c r="E6" s="136" t="s">
        <v>216</v>
      </c>
      <c r="F6" s="137">
        <v>3500</v>
      </c>
      <c r="G6" s="138">
        <v>1099</v>
      </c>
      <c r="I6" s="38" t="e">
        <f>#REF!</f>
        <v>#REF!</v>
      </c>
      <c r="J6" s="57" t="e">
        <f>#REF!</f>
        <v>#REF!</v>
      </c>
      <c r="K6" s="57" t="e">
        <f>SUMIF($H$5:$H$9,I6,$I$5:$I$9)</f>
        <v>#REF!</v>
      </c>
    </row>
    <row r="7" spans="1:11" ht="26.45" hidden="1" x14ac:dyDescent="0.25">
      <c r="B7" s="240" t="s">
        <v>46</v>
      </c>
      <c r="C7" s="240" t="s">
        <v>47</v>
      </c>
      <c r="D7" s="241" t="s">
        <v>12</v>
      </c>
      <c r="E7" s="241" t="s">
        <v>7</v>
      </c>
      <c r="F7" s="103" t="s">
        <v>4</v>
      </c>
      <c r="G7" s="242" t="s">
        <v>48</v>
      </c>
      <c r="H7" s="38" t="e">
        <f>#REF!</f>
        <v>#REF!</v>
      </c>
      <c r="I7" s="57" t="e">
        <f>#REF!</f>
        <v>#REF!</v>
      </c>
      <c r="J7" s="57" t="e">
        <f>SUMIF($H$5:$H$9,H7,$I$5:$I$9)</f>
        <v>#REF!</v>
      </c>
    </row>
    <row r="8" spans="1:11" x14ac:dyDescent="0.2">
      <c r="B8" s="245"/>
      <c r="C8" s="245"/>
      <c r="D8" s="238"/>
      <c r="E8" s="238"/>
      <c r="F8" s="236"/>
      <c r="G8" s="286"/>
      <c r="I8" s="38" t="e">
        <f>#REF!</f>
        <v>#REF!</v>
      </c>
      <c r="J8" s="57" t="e">
        <f>#REF!</f>
        <v>#REF!</v>
      </c>
      <c r="K8" s="57" t="e">
        <f>SUMIF($H$5:$H$9,I8,$I$5:$I$9)</f>
        <v>#REF!</v>
      </c>
    </row>
    <row r="9" spans="1:11" ht="13.15" x14ac:dyDescent="0.25">
      <c r="B9" s="246"/>
      <c r="C9" s="246"/>
      <c r="D9" s="239"/>
      <c r="E9" s="239"/>
      <c r="F9" s="237"/>
      <c r="G9" s="287"/>
      <c r="I9" s="38" t="e">
        <f>#REF!</f>
        <v>#REF!</v>
      </c>
      <c r="J9" s="57" t="e">
        <f>#REF!</f>
        <v>#REF!</v>
      </c>
      <c r="K9" s="57" t="e">
        <f>SUMIF($H$5:$H$9,I9,$I$5:$I$9)</f>
        <v>#REF!</v>
      </c>
    </row>
    <row r="10" spans="1:11" ht="13.15" x14ac:dyDescent="0.25">
      <c r="B10" s="247"/>
      <c r="C10" s="247"/>
      <c r="D10" s="164"/>
      <c r="E10" s="164"/>
      <c r="F10" s="237"/>
      <c r="G10" s="287"/>
    </row>
    <row r="11" spans="1:11" ht="13.15" x14ac:dyDescent="0.25">
      <c r="B11" s="247"/>
      <c r="C11" s="247"/>
      <c r="D11" s="164"/>
      <c r="E11" s="164"/>
      <c r="F11" s="237"/>
      <c r="G11" s="287"/>
    </row>
    <row r="12" spans="1:11" ht="13.15" x14ac:dyDescent="0.25">
      <c r="B12" s="247"/>
      <c r="C12" s="247"/>
      <c r="D12" s="164"/>
      <c r="E12" s="164"/>
      <c r="F12" s="237"/>
      <c r="G12" s="287"/>
    </row>
    <row r="13" spans="1:11" ht="13.15" x14ac:dyDescent="0.25">
      <c r="B13" s="248"/>
      <c r="C13" s="248"/>
      <c r="D13" s="164"/>
      <c r="E13" s="164"/>
      <c r="F13" s="250"/>
      <c r="G13" s="287"/>
    </row>
    <row r="14" spans="1:11" x14ac:dyDescent="0.2">
      <c r="B14" s="248"/>
      <c r="C14" s="248"/>
      <c r="D14" s="164"/>
      <c r="E14" s="164"/>
      <c r="F14" s="250"/>
      <c r="G14" s="287"/>
    </row>
    <row r="15" spans="1:11" ht="13.15" x14ac:dyDescent="0.25">
      <c r="B15" s="248"/>
      <c r="C15" s="248"/>
      <c r="D15" s="164"/>
      <c r="E15" s="164"/>
      <c r="F15" s="250"/>
      <c r="G15" s="287"/>
    </row>
    <row r="16" spans="1:11" x14ac:dyDescent="0.2">
      <c r="B16" s="248"/>
      <c r="C16" s="248"/>
      <c r="D16" s="164"/>
      <c r="E16" s="164"/>
      <c r="F16" s="250"/>
      <c r="G16" s="287"/>
    </row>
    <row r="17" spans="2:7" ht="13.15" x14ac:dyDescent="0.25">
      <c r="B17" s="248"/>
      <c r="C17" s="248"/>
      <c r="D17" s="164"/>
      <c r="E17" s="164"/>
      <c r="F17" s="250"/>
      <c r="G17" s="287"/>
    </row>
    <row r="18" spans="2:7" ht="13.15" x14ac:dyDescent="0.25">
      <c r="B18" s="248"/>
      <c r="C18" s="248"/>
      <c r="D18" s="164"/>
      <c r="E18" s="164"/>
      <c r="F18" s="250"/>
      <c r="G18" s="287"/>
    </row>
    <row r="19" spans="2:7" ht="13.15" x14ac:dyDescent="0.25">
      <c r="B19" s="248"/>
      <c r="C19" s="248"/>
      <c r="D19" s="164"/>
      <c r="E19" s="164"/>
      <c r="F19" s="250"/>
      <c r="G19" s="287"/>
    </row>
    <row r="20" spans="2:7" ht="13.15" x14ac:dyDescent="0.25">
      <c r="B20" s="248"/>
      <c r="C20" s="248"/>
      <c r="D20" s="164"/>
      <c r="E20" s="164"/>
      <c r="F20" s="250"/>
      <c r="G20" s="287"/>
    </row>
    <row r="21" spans="2:7" ht="13.9" thickBot="1" x14ac:dyDescent="0.3">
      <c r="D21" s="41" t="s">
        <v>40</v>
      </c>
      <c r="E21" s="235">
        <f>SUM(Revenue[Total])</f>
        <v>0</v>
      </c>
    </row>
    <row r="22" spans="2:7" ht="13.9" thickTop="1" x14ac:dyDescent="0.25"/>
  </sheetData>
  <sheetProtection selectLockedCells="1"/>
  <mergeCells count="2">
    <mergeCell ref="C2:F2"/>
    <mergeCell ref="C1:D1"/>
  </mergeCells>
  <conditionalFormatting sqref="G8:G20">
    <cfRule type="expression" dxfId="30" priority="1" stopIfTrue="1">
      <formula>$F8=0</formula>
    </cfRule>
    <cfRule type="expression" dxfId="29" priority="2">
      <formula>$G8=0</formula>
    </cfRule>
  </conditionalFormatting>
  <dataValidations disablePrompts="1" count="2">
    <dataValidation type="date" allowBlank="1" showInputMessage="1" showErrorMessage="1" errorTitle="Error" error="Please enter a valid date in the format YYYY/MM/DD" promptTitle="Date format" prompt="Enter dates as YYYY/MM/DD" sqref="B8:C8">
      <formula1>41640</formula1>
      <formula2>73415</formula2>
    </dataValidation>
    <dataValidation type="date" allowBlank="1" showErrorMessage="1" errorTitle="Error" error="Please enter a valid date in the format YYYY/MM/DD" promptTitle="Date format" prompt="Enter dates as YYYY/MM/DD" sqref="B9:C12">
      <formula1>41640</formula1>
      <formula2>73415</formula2>
    </dataValidation>
  </dataValidations>
  <pageMargins left="0.25" right="0.25" top="1.054861111111111" bottom="0.75" header="0.3" footer="0.3"/>
  <pageSetup paperSize="5" fitToHeight="0" orientation="landscape" horizontalDpi="300" verticalDpi="300" r:id="rId1"/>
  <headerFooter>
    <oddHeader>&amp;L&amp;G&amp;C&amp;"-,Bold"&amp;20Recettes liées à la catastrophe
&amp;R&amp;"-,Bold"&amp;12Programme d’aide aux municipalités 
pour la reprise après une catastrophe</oddHeader>
    <oddFooter>&amp;RPage &amp;P of &amp;N</oddFooter>
  </headerFooter>
  <drawing r:id="rId2"/>
  <legacyDrawingHF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pageSetUpPr fitToPage="1"/>
  </sheetPr>
  <dimension ref="B1:H25"/>
  <sheetViews>
    <sheetView showGridLines="0" view="pageLayout" zoomScaleNormal="75" workbookViewId="0">
      <selection activeCell="C7" sqref="C7"/>
    </sheetView>
  </sheetViews>
  <sheetFormatPr defaultRowHeight="12.75" x14ac:dyDescent="0.2"/>
  <cols>
    <col min="1" max="1" width="1" style="38" customWidth="1"/>
    <col min="2" max="2" width="11.125" style="38" customWidth="1"/>
    <col min="3" max="3" width="47.375" style="38" customWidth="1"/>
    <col min="4" max="4" width="21.5" style="38" customWidth="1"/>
    <col min="5" max="243" width="9" style="38"/>
    <col min="244" max="244" width="1" style="38" customWidth="1"/>
    <col min="245" max="245" width="16.25" style="38" customWidth="1"/>
    <col min="246" max="246" width="18.625" style="38" customWidth="1"/>
    <col min="247" max="247" width="6" style="38" customWidth="1"/>
    <col min="248" max="248" width="15.875" style="38" customWidth="1"/>
    <col min="249" max="249" width="10.375" style="38" customWidth="1"/>
    <col min="250" max="250" width="32.125" style="38" customWidth="1"/>
    <col min="251" max="251" width="13.625" style="38" customWidth="1"/>
    <col min="252" max="252" width="7.125" style="38" customWidth="1"/>
    <col min="253" max="253" width="4.375" style="38" customWidth="1"/>
    <col min="254" max="256" width="9.375" style="38" customWidth="1"/>
    <col min="257" max="499" width="9" style="38"/>
    <col min="500" max="500" width="1" style="38" customWidth="1"/>
    <col min="501" max="501" width="16.25" style="38" customWidth="1"/>
    <col min="502" max="502" width="18.625" style="38" customWidth="1"/>
    <col min="503" max="503" width="6" style="38" customWidth="1"/>
    <col min="504" max="504" width="15.875" style="38" customWidth="1"/>
    <col min="505" max="505" width="10.375" style="38" customWidth="1"/>
    <col min="506" max="506" width="32.125" style="38" customWidth="1"/>
    <col min="507" max="507" width="13.625" style="38" customWidth="1"/>
    <col min="508" max="508" width="7.125" style="38" customWidth="1"/>
    <col min="509" max="509" width="4.375" style="38" customWidth="1"/>
    <col min="510" max="512" width="9.375" style="38" customWidth="1"/>
    <col min="513" max="755" width="9" style="38"/>
    <col min="756" max="756" width="1" style="38" customWidth="1"/>
    <col min="757" max="757" width="16.25" style="38" customWidth="1"/>
    <col min="758" max="758" width="18.625" style="38" customWidth="1"/>
    <col min="759" max="759" width="6" style="38" customWidth="1"/>
    <col min="760" max="760" width="15.875" style="38" customWidth="1"/>
    <col min="761" max="761" width="10.375" style="38" customWidth="1"/>
    <col min="762" max="762" width="32.125" style="38" customWidth="1"/>
    <col min="763" max="763" width="13.625" style="38" customWidth="1"/>
    <col min="764" max="764" width="7.125" style="38" customWidth="1"/>
    <col min="765" max="765" width="4.375" style="38" customWidth="1"/>
    <col min="766" max="768" width="9.375" style="38" customWidth="1"/>
    <col min="769" max="1011" width="9" style="38"/>
    <col min="1012" max="1012" width="1" style="38" customWidth="1"/>
    <col min="1013" max="1013" width="16.25" style="38" customWidth="1"/>
    <col min="1014" max="1014" width="18.625" style="38" customWidth="1"/>
    <col min="1015" max="1015" width="6" style="38" customWidth="1"/>
    <col min="1016" max="1016" width="15.875" style="38" customWidth="1"/>
    <col min="1017" max="1017" width="10.375" style="38" customWidth="1"/>
    <col min="1018" max="1018" width="32.125" style="38" customWidth="1"/>
    <col min="1019" max="1019" width="13.625" style="38" customWidth="1"/>
    <col min="1020" max="1020" width="7.125" style="38" customWidth="1"/>
    <col min="1021" max="1021" width="4.375" style="38" customWidth="1"/>
    <col min="1022" max="1024" width="9.375" style="38" customWidth="1"/>
    <col min="1025" max="1267" width="9" style="38"/>
    <col min="1268" max="1268" width="1" style="38" customWidth="1"/>
    <col min="1269" max="1269" width="16.25" style="38" customWidth="1"/>
    <col min="1270" max="1270" width="18.625" style="38" customWidth="1"/>
    <col min="1271" max="1271" width="6" style="38" customWidth="1"/>
    <col min="1272" max="1272" width="15.875" style="38" customWidth="1"/>
    <col min="1273" max="1273" width="10.375" style="38" customWidth="1"/>
    <col min="1274" max="1274" width="32.125" style="38" customWidth="1"/>
    <col min="1275" max="1275" width="13.625" style="38" customWidth="1"/>
    <col min="1276" max="1276" width="7.125" style="38" customWidth="1"/>
    <col min="1277" max="1277" width="4.375" style="38" customWidth="1"/>
    <col min="1278" max="1280" width="9.375" style="38" customWidth="1"/>
    <col min="1281" max="1523" width="9" style="38"/>
    <col min="1524" max="1524" width="1" style="38" customWidth="1"/>
    <col min="1525" max="1525" width="16.25" style="38" customWidth="1"/>
    <col min="1526" max="1526" width="18.625" style="38" customWidth="1"/>
    <col min="1527" max="1527" width="6" style="38" customWidth="1"/>
    <col min="1528" max="1528" width="15.875" style="38" customWidth="1"/>
    <col min="1529" max="1529" width="10.375" style="38" customWidth="1"/>
    <col min="1530" max="1530" width="32.125" style="38" customWidth="1"/>
    <col min="1531" max="1531" width="13.625" style="38" customWidth="1"/>
    <col min="1532" max="1532" width="7.125" style="38" customWidth="1"/>
    <col min="1533" max="1533" width="4.375" style="38" customWidth="1"/>
    <col min="1534" max="1536" width="9.375" style="38" customWidth="1"/>
    <col min="1537" max="1779" width="9" style="38"/>
    <col min="1780" max="1780" width="1" style="38" customWidth="1"/>
    <col min="1781" max="1781" width="16.25" style="38" customWidth="1"/>
    <col min="1782" max="1782" width="18.625" style="38" customWidth="1"/>
    <col min="1783" max="1783" width="6" style="38" customWidth="1"/>
    <col min="1784" max="1784" width="15.875" style="38" customWidth="1"/>
    <col min="1785" max="1785" width="10.375" style="38" customWidth="1"/>
    <col min="1786" max="1786" width="32.125" style="38" customWidth="1"/>
    <col min="1787" max="1787" width="13.625" style="38" customWidth="1"/>
    <col min="1788" max="1788" width="7.125" style="38" customWidth="1"/>
    <col min="1789" max="1789" width="4.375" style="38" customWidth="1"/>
    <col min="1790" max="1792" width="9.375" style="38" customWidth="1"/>
    <col min="1793" max="2035" width="9" style="38"/>
    <col min="2036" max="2036" width="1" style="38" customWidth="1"/>
    <col min="2037" max="2037" width="16.25" style="38" customWidth="1"/>
    <col min="2038" max="2038" width="18.625" style="38" customWidth="1"/>
    <col min="2039" max="2039" width="6" style="38" customWidth="1"/>
    <col min="2040" max="2040" width="15.875" style="38" customWidth="1"/>
    <col min="2041" max="2041" width="10.375" style="38" customWidth="1"/>
    <col min="2042" max="2042" width="32.125" style="38" customWidth="1"/>
    <col min="2043" max="2043" width="13.625" style="38" customWidth="1"/>
    <col min="2044" max="2044" width="7.125" style="38" customWidth="1"/>
    <col min="2045" max="2045" width="4.375" style="38" customWidth="1"/>
    <col min="2046" max="2048" width="9.375" style="38" customWidth="1"/>
    <col min="2049" max="2291" width="9" style="38"/>
    <col min="2292" max="2292" width="1" style="38" customWidth="1"/>
    <col min="2293" max="2293" width="16.25" style="38" customWidth="1"/>
    <col min="2294" max="2294" width="18.625" style="38" customWidth="1"/>
    <col min="2295" max="2295" width="6" style="38" customWidth="1"/>
    <col min="2296" max="2296" width="15.875" style="38" customWidth="1"/>
    <col min="2297" max="2297" width="10.375" style="38" customWidth="1"/>
    <col min="2298" max="2298" width="32.125" style="38" customWidth="1"/>
    <col min="2299" max="2299" width="13.625" style="38" customWidth="1"/>
    <col min="2300" max="2300" width="7.125" style="38" customWidth="1"/>
    <col min="2301" max="2301" width="4.375" style="38" customWidth="1"/>
    <col min="2302" max="2304" width="9.375" style="38" customWidth="1"/>
    <col min="2305" max="2547" width="9" style="38"/>
    <col min="2548" max="2548" width="1" style="38" customWidth="1"/>
    <col min="2549" max="2549" width="16.25" style="38" customWidth="1"/>
    <col min="2550" max="2550" width="18.625" style="38" customWidth="1"/>
    <col min="2551" max="2551" width="6" style="38" customWidth="1"/>
    <col min="2552" max="2552" width="15.875" style="38" customWidth="1"/>
    <col min="2553" max="2553" width="10.375" style="38" customWidth="1"/>
    <col min="2554" max="2554" width="32.125" style="38" customWidth="1"/>
    <col min="2555" max="2555" width="13.625" style="38" customWidth="1"/>
    <col min="2556" max="2556" width="7.125" style="38" customWidth="1"/>
    <col min="2557" max="2557" width="4.375" style="38" customWidth="1"/>
    <col min="2558" max="2560" width="9.375" style="38" customWidth="1"/>
    <col min="2561" max="2803" width="9" style="38"/>
    <col min="2804" max="2804" width="1" style="38" customWidth="1"/>
    <col min="2805" max="2805" width="16.25" style="38" customWidth="1"/>
    <col min="2806" max="2806" width="18.625" style="38" customWidth="1"/>
    <col min="2807" max="2807" width="6" style="38" customWidth="1"/>
    <col min="2808" max="2808" width="15.875" style="38" customWidth="1"/>
    <col min="2809" max="2809" width="10.375" style="38" customWidth="1"/>
    <col min="2810" max="2810" width="32.125" style="38" customWidth="1"/>
    <col min="2811" max="2811" width="13.625" style="38" customWidth="1"/>
    <col min="2812" max="2812" width="7.125" style="38" customWidth="1"/>
    <col min="2813" max="2813" width="4.375" style="38" customWidth="1"/>
    <col min="2814" max="2816" width="9.375" style="38" customWidth="1"/>
    <col min="2817" max="3059" width="9" style="38"/>
    <col min="3060" max="3060" width="1" style="38" customWidth="1"/>
    <col min="3061" max="3061" width="16.25" style="38" customWidth="1"/>
    <col min="3062" max="3062" width="18.625" style="38" customWidth="1"/>
    <col min="3063" max="3063" width="6" style="38" customWidth="1"/>
    <col min="3064" max="3064" width="15.875" style="38" customWidth="1"/>
    <col min="3065" max="3065" width="10.375" style="38" customWidth="1"/>
    <col min="3066" max="3066" width="32.125" style="38" customWidth="1"/>
    <col min="3067" max="3067" width="13.625" style="38" customWidth="1"/>
    <col min="3068" max="3068" width="7.125" style="38" customWidth="1"/>
    <col min="3069" max="3069" width="4.375" style="38" customWidth="1"/>
    <col min="3070" max="3072" width="9.375" style="38" customWidth="1"/>
    <col min="3073" max="3315" width="9" style="38"/>
    <col min="3316" max="3316" width="1" style="38" customWidth="1"/>
    <col min="3317" max="3317" width="16.25" style="38" customWidth="1"/>
    <col min="3318" max="3318" width="18.625" style="38" customWidth="1"/>
    <col min="3319" max="3319" width="6" style="38" customWidth="1"/>
    <col min="3320" max="3320" width="15.875" style="38" customWidth="1"/>
    <col min="3321" max="3321" width="10.375" style="38" customWidth="1"/>
    <col min="3322" max="3322" width="32.125" style="38" customWidth="1"/>
    <col min="3323" max="3323" width="13.625" style="38" customWidth="1"/>
    <col min="3324" max="3324" width="7.125" style="38" customWidth="1"/>
    <col min="3325" max="3325" width="4.375" style="38" customWidth="1"/>
    <col min="3326" max="3328" width="9.375" style="38" customWidth="1"/>
    <col min="3329" max="3571" width="9" style="38"/>
    <col min="3572" max="3572" width="1" style="38" customWidth="1"/>
    <col min="3573" max="3573" width="16.25" style="38" customWidth="1"/>
    <col min="3574" max="3574" width="18.625" style="38" customWidth="1"/>
    <col min="3575" max="3575" width="6" style="38" customWidth="1"/>
    <col min="3576" max="3576" width="15.875" style="38" customWidth="1"/>
    <col min="3577" max="3577" width="10.375" style="38" customWidth="1"/>
    <col min="3578" max="3578" width="32.125" style="38" customWidth="1"/>
    <col min="3579" max="3579" width="13.625" style="38" customWidth="1"/>
    <col min="3580" max="3580" width="7.125" style="38" customWidth="1"/>
    <col min="3581" max="3581" width="4.375" style="38" customWidth="1"/>
    <col min="3582" max="3584" width="9.375" style="38" customWidth="1"/>
    <col min="3585" max="3827" width="9" style="38"/>
    <col min="3828" max="3828" width="1" style="38" customWidth="1"/>
    <col min="3829" max="3829" width="16.25" style="38" customWidth="1"/>
    <col min="3830" max="3830" width="18.625" style="38" customWidth="1"/>
    <col min="3831" max="3831" width="6" style="38" customWidth="1"/>
    <col min="3832" max="3832" width="15.875" style="38" customWidth="1"/>
    <col min="3833" max="3833" width="10.375" style="38" customWidth="1"/>
    <col min="3834" max="3834" width="32.125" style="38" customWidth="1"/>
    <col min="3835" max="3835" width="13.625" style="38" customWidth="1"/>
    <col min="3836" max="3836" width="7.125" style="38" customWidth="1"/>
    <col min="3837" max="3837" width="4.375" style="38" customWidth="1"/>
    <col min="3838" max="3840" width="9.375" style="38" customWidth="1"/>
    <col min="3841" max="4083" width="9" style="38"/>
    <col min="4084" max="4084" width="1" style="38" customWidth="1"/>
    <col min="4085" max="4085" width="16.25" style="38" customWidth="1"/>
    <col min="4086" max="4086" width="18.625" style="38" customWidth="1"/>
    <col min="4087" max="4087" width="6" style="38" customWidth="1"/>
    <col min="4088" max="4088" width="15.875" style="38" customWidth="1"/>
    <col min="4089" max="4089" width="10.375" style="38" customWidth="1"/>
    <col min="4090" max="4090" width="32.125" style="38" customWidth="1"/>
    <col min="4091" max="4091" width="13.625" style="38" customWidth="1"/>
    <col min="4092" max="4092" width="7.125" style="38" customWidth="1"/>
    <col min="4093" max="4093" width="4.375" style="38" customWidth="1"/>
    <col min="4094" max="4096" width="9.375" style="38" customWidth="1"/>
    <col min="4097" max="4339" width="9" style="38"/>
    <col min="4340" max="4340" width="1" style="38" customWidth="1"/>
    <col min="4341" max="4341" width="16.25" style="38" customWidth="1"/>
    <col min="4342" max="4342" width="18.625" style="38" customWidth="1"/>
    <col min="4343" max="4343" width="6" style="38" customWidth="1"/>
    <col min="4344" max="4344" width="15.875" style="38" customWidth="1"/>
    <col min="4345" max="4345" width="10.375" style="38" customWidth="1"/>
    <col min="4346" max="4346" width="32.125" style="38" customWidth="1"/>
    <col min="4347" max="4347" width="13.625" style="38" customWidth="1"/>
    <col min="4348" max="4348" width="7.125" style="38" customWidth="1"/>
    <col min="4349" max="4349" width="4.375" style="38" customWidth="1"/>
    <col min="4350" max="4352" width="9.375" style="38" customWidth="1"/>
    <col min="4353" max="4595" width="9" style="38"/>
    <col min="4596" max="4596" width="1" style="38" customWidth="1"/>
    <col min="4597" max="4597" width="16.25" style="38" customWidth="1"/>
    <col min="4598" max="4598" width="18.625" style="38" customWidth="1"/>
    <col min="4599" max="4599" width="6" style="38" customWidth="1"/>
    <col min="4600" max="4600" width="15.875" style="38" customWidth="1"/>
    <col min="4601" max="4601" width="10.375" style="38" customWidth="1"/>
    <col min="4602" max="4602" width="32.125" style="38" customWidth="1"/>
    <col min="4603" max="4603" width="13.625" style="38" customWidth="1"/>
    <col min="4604" max="4604" width="7.125" style="38" customWidth="1"/>
    <col min="4605" max="4605" width="4.375" style="38" customWidth="1"/>
    <col min="4606" max="4608" width="9.375" style="38" customWidth="1"/>
    <col min="4609" max="4851" width="9" style="38"/>
    <col min="4852" max="4852" width="1" style="38" customWidth="1"/>
    <col min="4853" max="4853" width="16.25" style="38" customWidth="1"/>
    <col min="4854" max="4854" width="18.625" style="38" customWidth="1"/>
    <col min="4855" max="4855" width="6" style="38" customWidth="1"/>
    <col min="4856" max="4856" width="15.875" style="38" customWidth="1"/>
    <col min="4857" max="4857" width="10.375" style="38" customWidth="1"/>
    <col min="4858" max="4858" width="32.125" style="38" customWidth="1"/>
    <col min="4859" max="4859" width="13.625" style="38" customWidth="1"/>
    <col min="4860" max="4860" width="7.125" style="38" customWidth="1"/>
    <col min="4861" max="4861" width="4.375" style="38" customWidth="1"/>
    <col min="4862" max="4864" width="9.375" style="38" customWidth="1"/>
    <col min="4865" max="5107" width="9" style="38"/>
    <col min="5108" max="5108" width="1" style="38" customWidth="1"/>
    <col min="5109" max="5109" width="16.25" style="38" customWidth="1"/>
    <col min="5110" max="5110" width="18.625" style="38" customWidth="1"/>
    <col min="5111" max="5111" width="6" style="38" customWidth="1"/>
    <col min="5112" max="5112" width="15.875" style="38" customWidth="1"/>
    <col min="5113" max="5113" width="10.375" style="38" customWidth="1"/>
    <col min="5114" max="5114" width="32.125" style="38" customWidth="1"/>
    <col min="5115" max="5115" width="13.625" style="38" customWidth="1"/>
    <col min="5116" max="5116" width="7.125" style="38" customWidth="1"/>
    <col min="5117" max="5117" width="4.375" style="38" customWidth="1"/>
    <col min="5118" max="5120" width="9.375" style="38" customWidth="1"/>
    <col min="5121" max="5363" width="9" style="38"/>
    <col min="5364" max="5364" width="1" style="38" customWidth="1"/>
    <col min="5365" max="5365" width="16.25" style="38" customWidth="1"/>
    <col min="5366" max="5366" width="18.625" style="38" customWidth="1"/>
    <col min="5367" max="5367" width="6" style="38" customWidth="1"/>
    <col min="5368" max="5368" width="15.875" style="38" customWidth="1"/>
    <col min="5369" max="5369" width="10.375" style="38" customWidth="1"/>
    <col min="5370" max="5370" width="32.125" style="38" customWidth="1"/>
    <col min="5371" max="5371" width="13.625" style="38" customWidth="1"/>
    <col min="5372" max="5372" width="7.125" style="38" customWidth="1"/>
    <col min="5373" max="5373" width="4.375" style="38" customWidth="1"/>
    <col min="5374" max="5376" width="9.375" style="38" customWidth="1"/>
    <col min="5377" max="5619" width="9" style="38"/>
    <col min="5620" max="5620" width="1" style="38" customWidth="1"/>
    <col min="5621" max="5621" width="16.25" style="38" customWidth="1"/>
    <col min="5622" max="5622" width="18.625" style="38" customWidth="1"/>
    <col min="5623" max="5623" width="6" style="38" customWidth="1"/>
    <col min="5624" max="5624" width="15.875" style="38" customWidth="1"/>
    <col min="5625" max="5625" width="10.375" style="38" customWidth="1"/>
    <col min="5626" max="5626" width="32.125" style="38" customWidth="1"/>
    <col min="5627" max="5627" width="13.625" style="38" customWidth="1"/>
    <col min="5628" max="5628" width="7.125" style="38" customWidth="1"/>
    <col min="5629" max="5629" width="4.375" style="38" customWidth="1"/>
    <col min="5630" max="5632" width="9.375" style="38" customWidth="1"/>
    <col min="5633" max="5875" width="9" style="38"/>
    <col min="5876" max="5876" width="1" style="38" customWidth="1"/>
    <col min="5877" max="5877" width="16.25" style="38" customWidth="1"/>
    <col min="5878" max="5878" width="18.625" style="38" customWidth="1"/>
    <col min="5879" max="5879" width="6" style="38" customWidth="1"/>
    <col min="5880" max="5880" width="15.875" style="38" customWidth="1"/>
    <col min="5881" max="5881" width="10.375" style="38" customWidth="1"/>
    <col min="5882" max="5882" width="32.125" style="38" customWidth="1"/>
    <col min="5883" max="5883" width="13.625" style="38" customWidth="1"/>
    <col min="5884" max="5884" width="7.125" style="38" customWidth="1"/>
    <col min="5885" max="5885" width="4.375" style="38" customWidth="1"/>
    <col min="5886" max="5888" width="9.375" style="38" customWidth="1"/>
    <col min="5889" max="6131" width="9" style="38"/>
    <col min="6132" max="6132" width="1" style="38" customWidth="1"/>
    <col min="6133" max="6133" width="16.25" style="38" customWidth="1"/>
    <col min="6134" max="6134" width="18.625" style="38" customWidth="1"/>
    <col min="6135" max="6135" width="6" style="38" customWidth="1"/>
    <col min="6136" max="6136" width="15.875" style="38" customWidth="1"/>
    <col min="6137" max="6137" width="10.375" style="38" customWidth="1"/>
    <col min="6138" max="6138" width="32.125" style="38" customWidth="1"/>
    <col min="6139" max="6139" width="13.625" style="38" customWidth="1"/>
    <col min="6140" max="6140" width="7.125" style="38" customWidth="1"/>
    <col min="6141" max="6141" width="4.375" style="38" customWidth="1"/>
    <col min="6142" max="6144" width="9.375" style="38" customWidth="1"/>
    <col min="6145" max="6387" width="9" style="38"/>
    <col min="6388" max="6388" width="1" style="38" customWidth="1"/>
    <col min="6389" max="6389" width="16.25" style="38" customWidth="1"/>
    <col min="6390" max="6390" width="18.625" style="38" customWidth="1"/>
    <col min="6391" max="6391" width="6" style="38" customWidth="1"/>
    <col min="6392" max="6392" width="15.875" style="38" customWidth="1"/>
    <col min="6393" max="6393" width="10.375" style="38" customWidth="1"/>
    <col min="6394" max="6394" width="32.125" style="38" customWidth="1"/>
    <col min="6395" max="6395" width="13.625" style="38" customWidth="1"/>
    <col min="6396" max="6396" width="7.125" style="38" customWidth="1"/>
    <col min="6397" max="6397" width="4.375" style="38" customWidth="1"/>
    <col min="6398" max="6400" width="9.375" style="38" customWidth="1"/>
    <col min="6401" max="6643" width="9" style="38"/>
    <col min="6644" max="6644" width="1" style="38" customWidth="1"/>
    <col min="6645" max="6645" width="16.25" style="38" customWidth="1"/>
    <col min="6646" max="6646" width="18.625" style="38" customWidth="1"/>
    <col min="6647" max="6647" width="6" style="38" customWidth="1"/>
    <col min="6648" max="6648" width="15.875" style="38" customWidth="1"/>
    <col min="6649" max="6649" width="10.375" style="38" customWidth="1"/>
    <col min="6650" max="6650" width="32.125" style="38" customWidth="1"/>
    <col min="6651" max="6651" width="13.625" style="38" customWidth="1"/>
    <col min="6652" max="6652" width="7.125" style="38" customWidth="1"/>
    <col min="6653" max="6653" width="4.375" style="38" customWidth="1"/>
    <col min="6654" max="6656" width="9.375" style="38" customWidth="1"/>
    <col min="6657" max="6899" width="9" style="38"/>
    <col min="6900" max="6900" width="1" style="38" customWidth="1"/>
    <col min="6901" max="6901" width="16.25" style="38" customWidth="1"/>
    <col min="6902" max="6902" width="18.625" style="38" customWidth="1"/>
    <col min="6903" max="6903" width="6" style="38" customWidth="1"/>
    <col min="6904" max="6904" width="15.875" style="38" customWidth="1"/>
    <col min="6905" max="6905" width="10.375" style="38" customWidth="1"/>
    <col min="6906" max="6906" width="32.125" style="38" customWidth="1"/>
    <col min="6907" max="6907" width="13.625" style="38" customWidth="1"/>
    <col min="6908" max="6908" width="7.125" style="38" customWidth="1"/>
    <col min="6909" max="6909" width="4.375" style="38" customWidth="1"/>
    <col min="6910" max="6912" width="9.375" style="38" customWidth="1"/>
    <col min="6913" max="7155" width="9" style="38"/>
    <col min="7156" max="7156" width="1" style="38" customWidth="1"/>
    <col min="7157" max="7157" width="16.25" style="38" customWidth="1"/>
    <col min="7158" max="7158" width="18.625" style="38" customWidth="1"/>
    <col min="7159" max="7159" width="6" style="38" customWidth="1"/>
    <col min="7160" max="7160" width="15.875" style="38" customWidth="1"/>
    <col min="7161" max="7161" width="10.375" style="38" customWidth="1"/>
    <col min="7162" max="7162" width="32.125" style="38" customWidth="1"/>
    <col min="7163" max="7163" width="13.625" style="38" customWidth="1"/>
    <col min="7164" max="7164" width="7.125" style="38" customWidth="1"/>
    <col min="7165" max="7165" width="4.375" style="38" customWidth="1"/>
    <col min="7166" max="7168" width="9.375" style="38" customWidth="1"/>
    <col min="7169" max="7411" width="9" style="38"/>
    <col min="7412" max="7412" width="1" style="38" customWidth="1"/>
    <col min="7413" max="7413" width="16.25" style="38" customWidth="1"/>
    <col min="7414" max="7414" width="18.625" style="38" customWidth="1"/>
    <col min="7415" max="7415" width="6" style="38" customWidth="1"/>
    <col min="7416" max="7416" width="15.875" style="38" customWidth="1"/>
    <col min="7417" max="7417" width="10.375" style="38" customWidth="1"/>
    <col min="7418" max="7418" width="32.125" style="38" customWidth="1"/>
    <col min="7419" max="7419" width="13.625" style="38" customWidth="1"/>
    <col min="7420" max="7420" width="7.125" style="38" customWidth="1"/>
    <col min="7421" max="7421" width="4.375" style="38" customWidth="1"/>
    <col min="7422" max="7424" width="9.375" style="38" customWidth="1"/>
    <col min="7425" max="7667" width="9" style="38"/>
    <col min="7668" max="7668" width="1" style="38" customWidth="1"/>
    <col min="7669" max="7669" width="16.25" style="38" customWidth="1"/>
    <col min="7670" max="7670" width="18.625" style="38" customWidth="1"/>
    <col min="7671" max="7671" width="6" style="38" customWidth="1"/>
    <col min="7672" max="7672" width="15.875" style="38" customWidth="1"/>
    <col min="7673" max="7673" width="10.375" style="38" customWidth="1"/>
    <col min="7674" max="7674" width="32.125" style="38" customWidth="1"/>
    <col min="7675" max="7675" width="13.625" style="38" customWidth="1"/>
    <col min="7676" max="7676" width="7.125" style="38" customWidth="1"/>
    <col min="7677" max="7677" width="4.375" style="38" customWidth="1"/>
    <col min="7678" max="7680" width="9.375" style="38" customWidth="1"/>
    <col min="7681" max="7923" width="9" style="38"/>
    <col min="7924" max="7924" width="1" style="38" customWidth="1"/>
    <col min="7925" max="7925" width="16.25" style="38" customWidth="1"/>
    <col min="7926" max="7926" width="18.625" style="38" customWidth="1"/>
    <col min="7927" max="7927" width="6" style="38" customWidth="1"/>
    <col min="7928" max="7928" width="15.875" style="38" customWidth="1"/>
    <col min="7929" max="7929" width="10.375" style="38" customWidth="1"/>
    <col min="7930" max="7930" width="32.125" style="38" customWidth="1"/>
    <col min="7931" max="7931" width="13.625" style="38" customWidth="1"/>
    <col min="7932" max="7932" width="7.125" style="38" customWidth="1"/>
    <col min="7933" max="7933" width="4.375" style="38" customWidth="1"/>
    <col min="7934" max="7936" width="9.375" style="38" customWidth="1"/>
    <col min="7937" max="8179" width="9" style="38"/>
    <col min="8180" max="8180" width="1" style="38" customWidth="1"/>
    <col min="8181" max="8181" width="16.25" style="38" customWidth="1"/>
    <col min="8182" max="8182" width="18.625" style="38" customWidth="1"/>
    <col min="8183" max="8183" width="6" style="38" customWidth="1"/>
    <col min="8184" max="8184" width="15.875" style="38" customWidth="1"/>
    <col min="8185" max="8185" width="10.375" style="38" customWidth="1"/>
    <col min="8186" max="8186" width="32.125" style="38" customWidth="1"/>
    <col min="8187" max="8187" width="13.625" style="38" customWidth="1"/>
    <col min="8188" max="8188" width="7.125" style="38" customWidth="1"/>
    <col min="8189" max="8189" width="4.375" style="38" customWidth="1"/>
    <col min="8190" max="8192" width="9.375" style="38" customWidth="1"/>
    <col min="8193" max="8435" width="9" style="38"/>
    <col min="8436" max="8436" width="1" style="38" customWidth="1"/>
    <col min="8437" max="8437" width="16.25" style="38" customWidth="1"/>
    <col min="8438" max="8438" width="18.625" style="38" customWidth="1"/>
    <col min="8439" max="8439" width="6" style="38" customWidth="1"/>
    <col min="8440" max="8440" width="15.875" style="38" customWidth="1"/>
    <col min="8441" max="8441" width="10.375" style="38" customWidth="1"/>
    <col min="8442" max="8442" width="32.125" style="38" customWidth="1"/>
    <col min="8443" max="8443" width="13.625" style="38" customWidth="1"/>
    <col min="8444" max="8444" width="7.125" style="38" customWidth="1"/>
    <col min="8445" max="8445" width="4.375" style="38" customWidth="1"/>
    <col min="8446" max="8448" width="9.375" style="38" customWidth="1"/>
    <col min="8449" max="8691" width="9" style="38"/>
    <col min="8692" max="8692" width="1" style="38" customWidth="1"/>
    <col min="8693" max="8693" width="16.25" style="38" customWidth="1"/>
    <col min="8694" max="8694" width="18.625" style="38" customWidth="1"/>
    <col min="8695" max="8695" width="6" style="38" customWidth="1"/>
    <col min="8696" max="8696" width="15.875" style="38" customWidth="1"/>
    <col min="8697" max="8697" width="10.375" style="38" customWidth="1"/>
    <col min="8698" max="8698" width="32.125" style="38" customWidth="1"/>
    <col min="8699" max="8699" width="13.625" style="38" customWidth="1"/>
    <col min="8700" max="8700" width="7.125" style="38" customWidth="1"/>
    <col min="8701" max="8701" width="4.375" style="38" customWidth="1"/>
    <col min="8702" max="8704" width="9.375" style="38" customWidth="1"/>
    <col min="8705" max="8947" width="9" style="38"/>
    <col min="8948" max="8948" width="1" style="38" customWidth="1"/>
    <col min="8949" max="8949" width="16.25" style="38" customWidth="1"/>
    <col min="8950" max="8950" width="18.625" style="38" customWidth="1"/>
    <col min="8951" max="8951" width="6" style="38" customWidth="1"/>
    <col min="8952" max="8952" width="15.875" style="38" customWidth="1"/>
    <col min="8953" max="8953" width="10.375" style="38" customWidth="1"/>
    <col min="8954" max="8954" width="32.125" style="38" customWidth="1"/>
    <col min="8955" max="8955" width="13.625" style="38" customWidth="1"/>
    <col min="8956" max="8956" width="7.125" style="38" customWidth="1"/>
    <col min="8957" max="8957" width="4.375" style="38" customWidth="1"/>
    <col min="8958" max="8960" width="9.375" style="38" customWidth="1"/>
    <col min="8961" max="9203" width="9" style="38"/>
    <col min="9204" max="9204" width="1" style="38" customWidth="1"/>
    <col min="9205" max="9205" width="16.25" style="38" customWidth="1"/>
    <col min="9206" max="9206" width="18.625" style="38" customWidth="1"/>
    <col min="9207" max="9207" width="6" style="38" customWidth="1"/>
    <col min="9208" max="9208" width="15.875" style="38" customWidth="1"/>
    <col min="9209" max="9209" width="10.375" style="38" customWidth="1"/>
    <col min="9210" max="9210" width="32.125" style="38" customWidth="1"/>
    <col min="9211" max="9211" width="13.625" style="38" customWidth="1"/>
    <col min="9212" max="9212" width="7.125" style="38" customWidth="1"/>
    <col min="9213" max="9213" width="4.375" style="38" customWidth="1"/>
    <col min="9214" max="9216" width="9.375" style="38" customWidth="1"/>
    <col min="9217" max="9459" width="9" style="38"/>
    <col min="9460" max="9460" width="1" style="38" customWidth="1"/>
    <col min="9461" max="9461" width="16.25" style="38" customWidth="1"/>
    <col min="9462" max="9462" width="18.625" style="38" customWidth="1"/>
    <col min="9463" max="9463" width="6" style="38" customWidth="1"/>
    <col min="9464" max="9464" width="15.875" style="38" customWidth="1"/>
    <col min="9465" max="9465" width="10.375" style="38" customWidth="1"/>
    <col min="9466" max="9466" width="32.125" style="38" customWidth="1"/>
    <col min="9467" max="9467" width="13.625" style="38" customWidth="1"/>
    <col min="9468" max="9468" width="7.125" style="38" customWidth="1"/>
    <col min="9469" max="9469" width="4.375" style="38" customWidth="1"/>
    <col min="9470" max="9472" width="9.375" style="38" customWidth="1"/>
    <col min="9473" max="9715" width="9" style="38"/>
    <col min="9716" max="9716" width="1" style="38" customWidth="1"/>
    <col min="9717" max="9717" width="16.25" style="38" customWidth="1"/>
    <col min="9718" max="9718" width="18.625" style="38" customWidth="1"/>
    <col min="9719" max="9719" width="6" style="38" customWidth="1"/>
    <col min="9720" max="9720" width="15.875" style="38" customWidth="1"/>
    <col min="9721" max="9721" width="10.375" style="38" customWidth="1"/>
    <col min="9722" max="9722" width="32.125" style="38" customWidth="1"/>
    <col min="9723" max="9723" width="13.625" style="38" customWidth="1"/>
    <col min="9724" max="9724" width="7.125" style="38" customWidth="1"/>
    <col min="9725" max="9725" width="4.375" style="38" customWidth="1"/>
    <col min="9726" max="9728" width="9.375" style="38" customWidth="1"/>
    <col min="9729" max="9971" width="9" style="38"/>
    <col min="9972" max="9972" width="1" style="38" customWidth="1"/>
    <col min="9973" max="9973" width="16.25" style="38" customWidth="1"/>
    <col min="9974" max="9974" width="18.625" style="38" customWidth="1"/>
    <col min="9975" max="9975" width="6" style="38" customWidth="1"/>
    <col min="9976" max="9976" width="15.875" style="38" customWidth="1"/>
    <col min="9977" max="9977" width="10.375" style="38" customWidth="1"/>
    <col min="9978" max="9978" width="32.125" style="38" customWidth="1"/>
    <col min="9979" max="9979" width="13.625" style="38" customWidth="1"/>
    <col min="9980" max="9980" width="7.125" style="38" customWidth="1"/>
    <col min="9981" max="9981" width="4.375" style="38" customWidth="1"/>
    <col min="9982" max="9984" width="9.375" style="38" customWidth="1"/>
    <col min="9985" max="10227" width="9" style="38"/>
    <col min="10228" max="10228" width="1" style="38" customWidth="1"/>
    <col min="10229" max="10229" width="16.25" style="38" customWidth="1"/>
    <col min="10230" max="10230" width="18.625" style="38" customWidth="1"/>
    <col min="10231" max="10231" width="6" style="38" customWidth="1"/>
    <col min="10232" max="10232" width="15.875" style="38" customWidth="1"/>
    <col min="10233" max="10233" width="10.375" style="38" customWidth="1"/>
    <col min="10234" max="10234" width="32.125" style="38" customWidth="1"/>
    <col min="10235" max="10235" width="13.625" style="38" customWidth="1"/>
    <col min="10236" max="10236" width="7.125" style="38" customWidth="1"/>
    <col min="10237" max="10237" width="4.375" style="38" customWidth="1"/>
    <col min="10238" max="10240" width="9.375" style="38" customWidth="1"/>
    <col min="10241" max="10483" width="9" style="38"/>
    <col min="10484" max="10484" width="1" style="38" customWidth="1"/>
    <col min="10485" max="10485" width="16.25" style="38" customWidth="1"/>
    <col min="10486" max="10486" width="18.625" style="38" customWidth="1"/>
    <col min="10487" max="10487" width="6" style="38" customWidth="1"/>
    <col min="10488" max="10488" width="15.875" style="38" customWidth="1"/>
    <col min="10489" max="10489" width="10.375" style="38" customWidth="1"/>
    <col min="10490" max="10490" width="32.125" style="38" customWidth="1"/>
    <col min="10491" max="10491" width="13.625" style="38" customWidth="1"/>
    <col min="10492" max="10492" width="7.125" style="38" customWidth="1"/>
    <col min="10493" max="10493" width="4.375" style="38" customWidth="1"/>
    <col min="10494" max="10496" width="9.375" style="38" customWidth="1"/>
    <col min="10497" max="10739" width="9" style="38"/>
    <col min="10740" max="10740" width="1" style="38" customWidth="1"/>
    <col min="10741" max="10741" width="16.25" style="38" customWidth="1"/>
    <col min="10742" max="10742" width="18.625" style="38" customWidth="1"/>
    <col min="10743" max="10743" width="6" style="38" customWidth="1"/>
    <col min="10744" max="10744" width="15.875" style="38" customWidth="1"/>
    <col min="10745" max="10745" width="10.375" style="38" customWidth="1"/>
    <col min="10746" max="10746" width="32.125" style="38" customWidth="1"/>
    <col min="10747" max="10747" width="13.625" style="38" customWidth="1"/>
    <col min="10748" max="10748" width="7.125" style="38" customWidth="1"/>
    <col min="10749" max="10749" width="4.375" style="38" customWidth="1"/>
    <col min="10750" max="10752" width="9.375" style="38" customWidth="1"/>
    <col min="10753" max="10995" width="9" style="38"/>
    <col min="10996" max="10996" width="1" style="38" customWidth="1"/>
    <col min="10997" max="10997" width="16.25" style="38" customWidth="1"/>
    <col min="10998" max="10998" width="18.625" style="38" customWidth="1"/>
    <col min="10999" max="10999" width="6" style="38" customWidth="1"/>
    <col min="11000" max="11000" width="15.875" style="38" customWidth="1"/>
    <col min="11001" max="11001" width="10.375" style="38" customWidth="1"/>
    <col min="11002" max="11002" width="32.125" style="38" customWidth="1"/>
    <col min="11003" max="11003" width="13.625" style="38" customWidth="1"/>
    <col min="11004" max="11004" width="7.125" style="38" customWidth="1"/>
    <col min="11005" max="11005" width="4.375" style="38" customWidth="1"/>
    <col min="11006" max="11008" width="9.375" style="38" customWidth="1"/>
    <col min="11009" max="11251" width="9" style="38"/>
    <col min="11252" max="11252" width="1" style="38" customWidth="1"/>
    <col min="11253" max="11253" width="16.25" style="38" customWidth="1"/>
    <col min="11254" max="11254" width="18.625" style="38" customWidth="1"/>
    <col min="11255" max="11255" width="6" style="38" customWidth="1"/>
    <col min="11256" max="11256" width="15.875" style="38" customWidth="1"/>
    <col min="11257" max="11257" width="10.375" style="38" customWidth="1"/>
    <col min="11258" max="11258" width="32.125" style="38" customWidth="1"/>
    <col min="11259" max="11259" width="13.625" style="38" customWidth="1"/>
    <col min="11260" max="11260" width="7.125" style="38" customWidth="1"/>
    <col min="11261" max="11261" width="4.375" style="38" customWidth="1"/>
    <col min="11262" max="11264" width="9.375" style="38" customWidth="1"/>
    <col min="11265" max="11507" width="9" style="38"/>
    <col min="11508" max="11508" width="1" style="38" customWidth="1"/>
    <col min="11509" max="11509" width="16.25" style="38" customWidth="1"/>
    <col min="11510" max="11510" width="18.625" style="38" customWidth="1"/>
    <col min="11511" max="11511" width="6" style="38" customWidth="1"/>
    <col min="11512" max="11512" width="15.875" style="38" customWidth="1"/>
    <col min="11513" max="11513" width="10.375" style="38" customWidth="1"/>
    <col min="11514" max="11514" width="32.125" style="38" customWidth="1"/>
    <col min="11515" max="11515" width="13.625" style="38" customWidth="1"/>
    <col min="11516" max="11516" width="7.125" style="38" customWidth="1"/>
    <col min="11517" max="11517" width="4.375" style="38" customWidth="1"/>
    <col min="11518" max="11520" width="9.375" style="38" customWidth="1"/>
    <col min="11521" max="11763" width="9" style="38"/>
    <col min="11764" max="11764" width="1" style="38" customWidth="1"/>
    <col min="11765" max="11765" width="16.25" style="38" customWidth="1"/>
    <col min="11766" max="11766" width="18.625" style="38" customWidth="1"/>
    <col min="11767" max="11767" width="6" style="38" customWidth="1"/>
    <col min="11768" max="11768" width="15.875" style="38" customWidth="1"/>
    <col min="11769" max="11769" width="10.375" style="38" customWidth="1"/>
    <col min="11770" max="11770" width="32.125" style="38" customWidth="1"/>
    <col min="11771" max="11771" width="13.625" style="38" customWidth="1"/>
    <col min="11772" max="11772" width="7.125" style="38" customWidth="1"/>
    <col min="11773" max="11773" width="4.375" style="38" customWidth="1"/>
    <col min="11774" max="11776" width="9.375" style="38" customWidth="1"/>
    <col min="11777" max="12019" width="9" style="38"/>
    <col min="12020" max="12020" width="1" style="38" customWidth="1"/>
    <col min="12021" max="12021" width="16.25" style="38" customWidth="1"/>
    <col min="12022" max="12022" width="18.625" style="38" customWidth="1"/>
    <col min="12023" max="12023" width="6" style="38" customWidth="1"/>
    <col min="12024" max="12024" width="15.875" style="38" customWidth="1"/>
    <col min="12025" max="12025" width="10.375" style="38" customWidth="1"/>
    <col min="12026" max="12026" width="32.125" style="38" customWidth="1"/>
    <col min="12027" max="12027" width="13.625" style="38" customWidth="1"/>
    <col min="12028" max="12028" width="7.125" style="38" customWidth="1"/>
    <col min="12029" max="12029" width="4.375" style="38" customWidth="1"/>
    <col min="12030" max="12032" width="9.375" style="38" customWidth="1"/>
    <col min="12033" max="12275" width="9" style="38"/>
    <col min="12276" max="12276" width="1" style="38" customWidth="1"/>
    <col min="12277" max="12277" width="16.25" style="38" customWidth="1"/>
    <col min="12278" max="12278" width="18.625" style="38" customWidth="1"/>
    <col min="12279" max="12279" width="6" style="38" customWidth="1"/>
    <col min="12280" max="12280" width="15.875" style="38" customWidth="1"/>
    <col min="12281" max="12281" width="10.375" style="38" customWidth="1"/>
    <col min="12282" max="12282" width="32.125" style="38" customWidth="1"/>
    <col min="12283" max="12283" width="13.625" style="38" customWidth="1"/>
    <col min="12284" max="12284" width="7.125" style="38" customWidth="1"/>
    <col min="12285" max="12285" width="4.375" style="38" customWidth="1"/>
    <col min="12286" max="12288" width="9.375" style="38" customWidth="1"/>
    <col min="12289" max="12531" width="9" style="38"/>
    <col min="12532" max="12532" width="1" style="38" customWidth="1"/>
    <col min="12533" max="12533" width="16.25" style="38" customWidth="1"/>
    <col min="12534" max="12534" width="18.625" style="38" customWidth="1"/>
    <col min="12535" max="12535" width="6" style="38" customWidth="1"/>
    <col min="12536" max="12536" width="15.875" style="38" customWidth="1"/>
    <col min="12537" max="12537" width="10.375" style="38" customWidth="1"/>
    <col min="12538" max="12538" width="32.125" style="38" customWidth="1"/>
    <col min="12539" max="12539" width="13.625" style="38" customWidth="1"/>
    <col min="12540" max="12540" width="7.125" style="38" customWidth="1"/>
    <col min="12541" max="12541" width="4.375" style="38" customWidth="1"/>
    <col min="12542" max="12544" width="9.375" style="38" customWidth="1"/>
    <col min="12545" max="12787" width="9" style="38"/>
    <col min="12788" max="12788" width="1" style="38" customWidth="1"/>
    <col min="12789" max="12789" width="16.25" style="38" customWidth="1"/>
    <col min="12790" max="12790" width="18.625" style="38" customWidth="1"/>
    <col min="12791" max="12791" width="6" style="38" customWidth="1"/>
    <col min="12792" max="12792" width="15.875" style="38" customWidth="1"/>
    <col min="12793" max="12793" width="10.375" style="38" customWidth="1"/>
    <col min="12794" max="12794" width="32.125" style="38" customWidth="1"/>
    <col min="12795" max="12795" width="13.625" style="38" customWidth="1"/>
    <col min="12796" max="12796" width="7.125" style="38" customWidth="1"/>
    <col min="12797" max="12797" width="4.375" style="38" customWidth="1"/>
    <col min="12798" max="12800" width="9.375" style="38" customWidth="1"/>
    <col min="12801" max="13043" width="9" style="38"/>
    <col min="13044" max="13044" width="1" style="38" customWidth="1"/>
    <col min="13045" max="13045" width="16.25" style="38" customWidth="1"/>
    <col min="13046" max="13046" width="18.625" style="38" customWidth="1"/>
    <col min="13047" max="13047" width="6" style="38" customWidth="1"/>
    <col min="13048" max="13048" width="15.875" style="38" customWidth="1"/>
    <col min="13049" max="13049" width="10.375" style="38" customWidth="1"/>
    <col min="13050" max="13050" width="32.125" style="38" customWidth="1"/>
    <col min="13051" max="13051" width="13.625" style="38" customWidth="1"/>
    <col min="13052" max="13052" width="7.125" style="38" customWidth="1"/>
    <col min="13053" max="13053" width="4.375" style="38" customWidth="1"/>
    <col min="13054" max="13056" width="9.375" style="38" customWidth="1"/>
    <col min="13057" max="13299" width="9" style="38"/>
    <col min="13300" max="13300" width="1" style="38" customWidth="1"/>
    <col min="13301" max="13301" width="16.25" style="38" customWidth="1"/>
    <col min="13302" max="13302" width="18.625" style="38" customWidth="1"/>
    <col min="13303" max="13303" width="6" style="38" customWidth="1"/>
    <col min="13304" max="13304" width="15.875" style="38" customWidth="1"/>
    <col min="13305" max="13305" width="10.375" style="38" customWidth="1"/>
    <col min="13306" max="13306" width="32.125" style="38" customWidth="1"/>
    <col min="13307" max="13307" width="13.625" style="38" customWidth="1"/>
    <col min="13308" max="13308" width="7.125" style="38" customWidth="1"/>
    <col min="13309" max="13309" width="4.375" style="38" customWidth="1"/>
    <col min="13310" max="13312" width="9.375" style="38" customWidth="1"/>
    <col min="13313" max="13555" width="9" style="38"/>
    <col min="13556" max="13556" width="1" style="38" customWidth="1"/>
    <col min="13557" max="13557" width="16.25" style="38" customWidth="1"/>
    <col min="13558" max="13558" width="18.625" style="38" customWidth="1"/>
    <col min="13559" max="13559" width="6" style="38" customWidth="1"/>
    <col min="13560" max="13560" width="15.875" style="38" customWidth="1"/>
    <col min="13561" max="13561" width="10.375" style="38" customWidth="1"/>
    <col min="13562" max="13562" width="32.125" style="38" customWidth="1"/>
    <col min="13563" max="13563" width="13.625" style="38" customWidth="1"/>
    <col min="13564" max="13564" width="7.125" style="38" customWidth="1"/>
    <col min="13565" max="13565" width="4.375" style="38" customWidth="1"/>
    <col min="13566" max="13568" width="9.375" style="38" customWidth="1"/>
    <col min="13569" max="13811" width="9" style="38"/>
    <col min="13812" max="13812" width="1" style="38" customWidth="1"/>
    <col min="13813" max="13813" width="16.25" style="38" customWidth="1"/>
    <col min="13814" max="13814" width="18.625" style="38" customWidth="1"/>
    <col min="13815" max="13815" width="6" style="38" customWidth="1"/>
    <col min="13816" max="13816" width="15.875" style="38" customWidth="1"/>
    <col min="13817" max="13817" width="10.375" style="38" customWidth="1"/>
    <col min="13818" max="13818" width="32.125" style="38" customWidth="1"/>
    <col min="13819" max="13819" width="13.625" style="38" customWidth="1"/>
    <col min="13820" max="13820" width="7.125" style="38" customWidth="1"/>
    <col min="13821" max="13821" width="4.375" style="38" customWidth="1"/>
    <col min="13822" max="13824" width="9.375" style="38" customWidth="1"/>
    <col min="13825" max="14067" width="9" style="38"/>
    <col min="14068" max="14068" width="1" style="38" customWidth="1"/>
    <col min="14069" max="14069" width="16.25" style="38" customWidth="1"/>
    <col min="14070" max="14070" width="18.625" style="38" customWidth="1"/>
    <col min="14071" max="14071" width="6" style="38" customWidth="1"/>
    <col min="14072" max="14072" width="15.875" style="38" customWidth="1"/>
    <col min="14073" max="14073" width="10.375" style="38" customWidth="1"/>
    <col min="14074" max="14074" width="32.125" style="38" customWidth="1"/>
    <col min="14075" max="14075" width="13.625" style="38" customWidth="1"/>
    <col min="14076" max="14076" width="7.125" style="38" customWidth="1"/>
    <col min="14077" max="14077" width="4.375" style="38" customWidth="1"/>
    <col min="14078" max="14080" width="9.375" style="38" customWidth="1"/>
    <col min="14081" max="14323" width="9" style="38"/>
    <col min="14324" max="14324" width="1" style="38" customWidth="1"/>
    <col min="14325" max="14325" width="16.25" style="38" customWidth="1"/>
    <col min="14326" max="14326" width="18.625" style="38" customWidth="1"/>
    <col min="14327" max="14327" width="6" style="38" customWidth="1"/>
    <col min="14328" max="14328" width="15.875" style="38" customWidth="1"/>
    <col min="14329" max="14329" width="10.375" style="38" customWidth="1"/>
    <col min="14330" max="14330" width="32.125" style="38" customWidth="1"/>
    <col min="14331" max="14331" width="13.625" style="38" customWidth="1"/>
    <col min="14332" max="14332" width="7.125" style="38" customWidth="1"/>
    <col min="14333" max="14333" width="4.375" style="38" customWidth="1"/>
    <col min="14334" max="14336" width="9.375" style="38" customWidth="1"/>
    <col min="14337" max="14579" width="9" style="38"/>
    <col min="14580" max="14580" width="1" style="38" customWidth="1"/>
    <col min="14581" max="14581" width="16.25" style="38" customWidth="1"/>
    <col min="14582" max="14582" width="18.625" style="38" customWidth="1"/>
    <col min="14583" max="14583" width="6" style="38" customWidth="1"/>
    <col min="14584" max="14584" width="15.875" style="38" customWidth="1"/>
    <col min="14585" max="14585" width="10.375" style="38" customWidth="1"/>
    <col min="14586" max="14586" width="32.125" style="38" customWidth="1"/>
    <col min="14587" max="14587" width="13.625" style="38" customWidth="1"/>
    <col min="14588" max="14588" width="7.125" style="38" customWidth="1"/>
    <col min="14589" max="14589" width="4.375" style="38" customWidth="1"/>
    <col min="14590" max="14592" width="9.375" style="38" customWidth="1"/>
    <col min="14593" max="14835" width="9" style="38"/>
    <col min="14836" max="14836" width="1" style="38" customWidth="1"/>
    <col min="14837" max="14837" width="16.25" style="38" customWidth="1"/>
    <col min="14838" max="14838" width="18.625" style="38" customWidth="1"/>
    <col min="14839" max="14839" width="6" style="38" customWidth="1"/>
    <col min="14840" max="14840" width="15.875" style="38" customWidth="1"/>
    <col min="14841" max="14841" width="10.375" style="38" customWidth="1"/>
    <col min="14842" max="14842" width="32.125" style="38" customWidth="1"/>
    <col min="14843" max="14843" width="13.625" style="38" customWidth="1"/>
    <col min="14844" max="14844" width="7.125" style="38" customWidth="1"/>
    <col min="14845" max="14845" width="4.375" style="38" customWidth="1"/>
    <col min="14846" max="14848" width="9.375" style="38" customWidth="1"/>
    <col min="14849" max="15091" width="9" style="38"/>
    <col min="15092" max="15092" width="1" style="38" customWidth="1"/>
    <col min="15093" max="15093" width="16.25" style="38" customWidth="1"/>
    <col min="15094" max="15094" width="18.625" style="38" customWidth="1"/>
    <col min="15095" max="15095" width="6" style="38" customWidth="1"/>
    <col min="15096" max="15096" width="15.875" style="38" customWidth="1"/>
    <col min="15097" max="15097" width="10.375" style="38" customWidth="1"/>
    <col min="15098" max="15098" width="32.125" style="38" customWidth="1"/>
    <col min="15099" max="15099" width="13.625" style="38" customWidth="1"/>
    <col min="15100" max="15100" width="7.125" style="38" customWidth="1"/>
    <col min="15101" max="15101" width="4.375" style="38" customWidth="1"/>
    <col min="15102" max="15104" width="9.375" style="38" customWidth="1"/>
    <col min="15105" max="15347" width="9" style="38"/>
    <col min="15348" max="15348" width="1" style="38" customWidth="1"/>
    <col min="15349" max="15349" width="16.25" style="38" customWidth="1"/>
    <col min="15350" max="15350" width="18.625" style="38" customWidth="1"/>
    <col min="15351" max="15351" width="6" style="38" customWidth="1"/>
    <col min="15352" max="15352" width="15.875" style="38" customWidth="1"/>
    <col min="15353" max="15353" width="10.375" style="38" customWidth="1"/>
    <col min="15354" max="15354" width="32.125" style="38" customWidth="1"/>
    <col min="15355" max="15355" width="13.625" style="38" customWidth="1"/>
    <col min="15356" max="15356" width="7.125" style="38" customWidth="1"/>
    <col min="15357" max="15357" width="4.375" style="38" customWidth="1"/>
    <col min="15358" max="15360" width="9.375" style="38" customWidth="1"/>
    <col min="15361" max="15603" width="9" style="38"/>
    <col min="15604" max="15604" width="1" style="38" customWidth="1"/>
    <col min="15605" max="15605" width="16.25" style="38" customWidth="1"/>
    <col min="15606" max="15606" width="18.625" style="38" customWidth="1"/>
    <col min="15607" max="15607" width="6" style="38" customWidth="1"/>
    <col min="15608" max="15608" width="15.875" style="38" customWidth="1"/>
    <col min="15609" max="15609" width="10.375" style="38" customWidth="1"/>
    <col min="15610" max="15610" width="32.125" style="38" customWidth="1"/>
    <col min="15611" max="15611" width="13.625" style="38" customWidth="1"/>
    <col min="15612" max="15612" width="7.125" style="38" customWidth="1"/>
    <col min="15613" max="15613" width="4.375" style="38" customWidth="1"/>
    <col min="15614" max="15616" width="9.375" style="38" customWidth="1"/>
    <col min="15617" max="15859" width="9" style="38"/>
    <col min="15860" max="15860" width="1" style="38" customWidth="1"/>
    <col min="15861" max="15861" width="16.25" style="38" customWidth="1"/>
    <col min="15862" max="15862" width="18.625" style="38" customWidth="1"/>
    <col min="15863" max="15863" width="6" style="38" customWidth="1"/>
    <col min="15864" max="15864" width="15.875" style="38" customWidth="1"/>
    <col min="15865" max="15865" width="10.375" style="38" customWidth="1"/>
    <col min="15866" max="15866" width="32.125" style="38" customWidth="1"/>
    <col min="15867" max="15867" width="13.625" style="38" customWidth="1"/>
    <col min="15868" max="15868" width="7.125" style="38" customWidth="1"/>
    <col min="15869" max="15869" width="4.375" style="38" customWidth="1"/>
    <col min="15870" max="15872" width="9.375" style="38" customWidth="1"/>
    <col min="15873" max="16115" width="9" style="38"/>
    <col min="16116" max="16116" width="1" style="38" customWidth="1"/>
    <col min="16117" max="16117" width="16.25" style="38" customWidth="1"/>
    <col min="16118" max="16118" width="18.625" style="38" customWidth="1"/>
    <col min="16119" max="16119" width="6" style="38" customWidth="1"/>
    <col min="16120" max="16120" width="15.875" style="38" customWidth="1"/>
    <col min="16121" max="16121" width="10.375" style="38" customWidth="1"/>
    <col min="16122" max="16122" width="32.125" style="38" customWidth="1"/>
    <col min="16123" max="16123" width="13.625" style="38" customWidth="1"/>
    <col min="16124" max="16124" width="7.125" style="38" customWidth="1"/>
    <col min="16125" max="16125" width="4.375" style="38" customWidth="1"/>
    <col min="16126" max="16128" width="9.375" style="38" customWidth="1"/>
    <col min="16129" max="16384" width="9" style="38"/>
  </cols>
  <sheetData>
    <row r="1" spans="2:8" ht="43.5" customHeight="1" x14ac:dyDescent="0.2">
      <c r="C1" s="51"/>
    </row>
    <row r="2" spans="2:8" ht="50.25" customHeight="1" x14ac:dyDescent="0.2">
      <c r="B2" s="42" t="s">
        <v>170</v>
      </c>
      <c r="C2" s="424" t="s">
        <v>169</v>
      </c>
      <c r="D2" s="424"/>
    </row>
    <row r="3" spans="2:8" ht="13.9" x14ac:dyDescent="0.25">
      <c r="B3" s="42"/>
      <c r="C3" s="297"/>
      <c r="D3" s="297"/>
    </row>
    <row r="4" spans="2:8" ht="42.75" customHeight="1" x14ac:dyDescent="0.2">
      <c r="B4" s="28" t="s">
        <v>171</v>
      </c>
      <c r="C4" s="447" t="s">
        <v>191</v>
      </c>
      <c r="D4" s="447"/>
      <c r="E4" s="447"/>
      <c r="F4" s="447"/>
      <c r="G4" s="447"/>
      <c r="H4" s="447"/>
    </row>
    <row r="5" spans="2:8" ht="33" customHeight="1" x14ac:dyDescent="0.2">
      <c r="B5" s="28"/>
      <c r="C5" s="303" t="s">
        <v>193</v>
      </c>
      <c r="D5" s="66"/>
      <c r="E5" s="66"/>
      <c r="F5" s="66"/>
      <c r="G5" s="66"/>
      <c r="H5" s="66"/>
    </row>
    <row r="6" spans="2:8" x14ac:dyDescent="0.2">
      <c r="B6" s="50"/>
      <c r="C6" s="95" t="s">
        <v>194</v>
      </c>
      <c r="D6" s="95" t="s">
        <v>195</v>
      </c>
    </row>
    <row r="7" spans="2:8" x14ac:dyDescent="0.2">
      <c r="C7" s="93" t="s">
        <v>196</v>
      </c>
      <c r="D7" s="94">
        <f>SUM(GSOperating[Total])</f>
        <v>0</v>
      </c>
    </row>
    <row r="8" spans="2:8" x14ac:dyDescent="0.2">
      <c r="C8" s="93" t="s">
        <v>197</v>
      </c>
      <c r="D8" s="94">
        <f>SUM(GSCapital[Total])</f>
        <v>0</v>
      </c>
    </row>
    <row r="9" spans="2:8" x14ac:dyDescent="0.2">
      <c r="C9" s="93" t="s">
        <v>198</v>
      </c>
      <c r="D9" s="94">
        <f>SUM(EmplOperating[Total Cost])</f>
        <v>0</v>
      </c>
    </row>
    <row r="10" spans="2:8" x14ac:dyDescent="0.2">
      <c r="C10" s="93" t="s">
        <v>199</v>
      </c>
      <c r="D10" s="94">
        <f>SUM(ECCapital[Total Cost])</f>
        <v>0</v>
      </c>
    </row>
    <row r="11" spans="2:8" ht="25.5" x14ac:dyDescent="0.2">
      <c r="B11" s="35"/>
      <c r="C11" s="391" t="s">
        <v>200</v>
      </c>
      <c r="D11" s="94">
        <f>SUM(EquipOC[Total Costs])</f>
        <v>0</v>
      </c>
    </row>
    <row r="12" spans="2:8" ht="25.5" x14ac:dyDescent="0.2">
      <c r="B12" s="35"/>
      <c r="C12" s="391" t="s">
        <v>201</v>
      </c>
      <c r="D12" s="94">
        <f>SUM(EquipCC[Total Costs])</f>
        <v>0</v>
      </c>
    </row>
    <row r="13" spans="2:8" x14ac:dyDescent="0.2">
      <c r="B13" s="35"/>
      <c r="C13" s="93" t="s">
        <v>202</v>
      </c>
      <c r="D13" s="94">
        <f>SUM(Revenue[Total])</f>
        <v>0</v>
      </c>
    </row>
    <row r="14" spans="2:8" ht="29.25" customHeight="1" x14ac:dyDescent="0.25">
      <c r="B14" s="35"/>
      <c r="C14" s="76" t="s">
        <v>203</v>
      </c>
      <c r="D14" s="284">
        <f>SUM(D7:D12)-D13</f>
        <v>0</v>
      </c>
    </row>
    <row r="15" spans="2:8" ht="32.25" customHeight="1" x14ac:dyDescent="0.2">
      <c r="B15" s="35"/>
      <c r="C15" s="29" t="s">
        <v>204</v>
      </c>
      <c r="D15" s="281"/>
    </row>
    <row r="16" spans="2:8" ht="25.5" customHeight="1" x14ac:dyDescent="0.2">
      <c r="B16" s="35"/>
      <c r="C16" s="282" t="s">
        <v>172</v>
      </c>
      <c r="D16" s="283">
        <f>SUM(EstCost[CostEst])</f>
        <v>0</v>
      </c>
      <c r="H16" s="56"/>
    </row>
    <row r="17" spans="2:4" ht="25.5" customHeight="1" x14ac:dyDescent="0.2">
      <c r="B17" s="35"/>
      <c r="C17" s="282" t="s">
        <v>205</v>
      </c>
      <c r="D17" s="285">
        <f>D14+D16</f>
        <v>0</v>
      </c>
    </row>
    <row r="18" spans="2:4" ht="27" customHeight="1" x14ac:dyDescent="0.2">
      <c r="B18" s="35"/>
      <c r="C18" s="81" t="s">
        <v>206</v>
      </c>
      <c r="D18" s="30"/>
    </row>
    <row r="19" spans="2:4" ht="13.5" customHeight="1" x14ac:dyDescent="0.2">
      <c r="B19" s="52"/>
      <c r="C19" s="81" t="s">
        <v>207</v>
      </c>
      <c r="D19" s="30"/>
    </row>
    <row r="20" spans="2:4" ht="12.75" customHeight="1" x14ac:dyDescent="0.25">
      <c r="C20" s="81"/>
    </row>
    <row r="22" spans="2:4" ht="15.75" x14ac:dyDescent="0.2">
      <c r="B22" s="53"/>
      <c r="C22" s="81"/>
    </row>
    <row r="23" spans="2:4" x14ac:dyDescent="0.2">
      <c r="B23" s="35"/>
    </row>
    <row r="24" spans="2:4" x14ac:dyDescent="0.2">
      <c r="B24" s="35"/>
    </row>
    <row r="25" spans="2:4" x14ac:dyDescent="0.2">
      <c r="B25" s="35"/>
    </row>
  </sheetData>
  <sheetProtection selectLockedCells="1" selectUnlockedCells="1"/>
  <mergeCells count="2">
    <mergeCell ref="C4:H4"/>
    <mergeCell ref="C2:D2"/>
  </mergeCells>
  <pageMargins left="0.25" right="0.25" top="0" bottom="0.75" header="0.3" footer="0.3"/>
  <pageSetup paperSize="5" fitToHeight="0" orientation="landscape" horizontalDpi="300" verticalDpi="300" r:id="rId1"/>
  <headerFooter>
    <oddHeader>&amp;L&amp;G&amp;C&amp;"-,Bold"&amp;18Sommaire de la demande&amp;R&amp;"-,Bold"Programme d’aide aux municipalités 
pour la reprise après une catastrophe</oddHeader>
    <oddFooter>&amp;RPage &amp;P de &amp;N</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249977111117893"/>
    <pageSetUpPr fitToPage="1"/>
  </sheetPr>
  <dimension ref="A1:G34"/>
  <sheetViews>
    <sheetView showGridLines="0" zoomScale="90" zoomScaleNormal="90" zoomScalePageLayoutView="80" workbookViewId="0">
      <pane xSplit="1" ySplit="4" topLeftCell="B5" activePane="bottomRight" state="frozen"/>
      <selection pane="topRight" activeCell="B1" sqref="B1"/>
      <selection pane="bottomLeft" activeCell="A5" sqref="A5"/>
      <selection pane="bottomRight" activeCell="B8" sqref="B8"/>
    </sheetView>
  </sheetViews>
  <sheetFormatPr defaultRowHeight="12.75" x14ac:dyDescent="0.2"/>
  <cols>
    <col min="1" max="1" width="2.75" style="67" customWidth="1"/>
    <col min="2" max="2" width="18.625" style="67" customWidth="1"/>
    <col min="3" max="3" width="14" style="67" customWidth="1"/>
    <col min="4" max="4" width="54" style="67" customWidth="1"/>
    <col min="5" max="5" width="35.125" style="67" customWidth="1"/>
    <col min="6" max="6" width="26.25" style="67" customWidth="1"/>
    <col min="7" max="7" width="22.25" style="67" customWidth="1"/>
    <col min="8" max="246" width="9" style="67"/>
    <col min="247" max="247" width="1" style="67" customWidth="1"/>
    <col min="248" max="248" width="16.25" style="67" customWidth="1"/>
    <col min="249" max="249" width="18.625" style="67" customWidth="1"/>
    <col min="250" max="250" width="6" style="67" customWidth="1"/>
    <col min="251" max="251" width="15.875" style="67" customWidth="1"/>
    <col min="252" max="252" width="10.375" style="67" customWidth="1"/>
    <col min="253" max="253" width="32.125" style="67" customWidth="1"/>
    <col min="254" max="254" width="13.625" style="67" customWidth="1"/>
    <col min="255" max="255" width="7.125" style="67" customWidth="1"/>
    <col min="256" max="256" width="4.375" style="67" customWidth="1"/>
    <col min="257" max="259" width="9.375" style="67" customWidth="1"/>
    <col min="260" max="502" width="9" style="67"/>
    <col min="503" max="503" width="1" style="67" customWidth="1"/>
    <col min="504" max="504" width="16.25" style="67" customWidth="1"/>
    <col min="505" max="505" width="18.625" style="67" customWidth="1"/>
    <col min="506" max="506" width="6" style="67" customWidth="1"/>
    <col min="507" max="507" width="15.875" style="67" customWidth="1"/>
    <col min="508" max="508" width="10.375" style="67" customWidth="1"/>
    <col min="509" max="509" width="32.125" style="67" customWidth="1"/>
    <col min="510" max="510" width="13.625" style="67" customWidth="1"/>
    <col min="511" max="511" width="7.125" style="67" customWidth="1"/>
    <col min="512" max="512" width="4.375" style="67" customWidth="1"/>
    <col min="513" max="515" width="9.375" style="67" customWidth="1"/>
    <col min="516" max="758" width="9" style="67"/>
    <col min="759" max="759" width="1" style="67" customWidth="1"/>
    <col min="760" max="760" width="16.25" style="67" customWidth="1"/>
    <col min="761" max="761" width="18.625" style="67" customWidth="1"/>
    <col min="762" max="762" width="6" style="67" customWidth="1"/>
    <col min="763" max="763" width="15.875" style="67" customWidth="1"/>
    <col min="764" max="764" width="10.375" style="67" customWidth="1"/>
    <col min="765" max="765" width="32.125" style="67" customWidth="1"/>
    <col min="766" max="766" width="13.625" style="67" customWidth="1"/>
    <col min="767" max="767" width="7.125" style="67" customWidth="1"/>
    <col min="768" max="768" width="4.375" style="67" customWidth="1"/>
    <col min="769" max="771" width="9.375" style="67" customWidth="1"/>
    <col min="772" max="1014" width="9" style="67"/>
    <col min="1015" max="1015" width="1" style="67" customWidth="1"/>
    <col min="1016" max="1016" width="16.25" style="67" customWidth="1"/>
    <col min="1017" max="1017" width="18.625" style="67" customWidth="1"/>
    <col min="1018" max="1018" width="6" style="67" customWidth="1"/>
    <col min="1019" max="1019" width="15.875" style="67" customWidth="1"/>
    <col min="1020" max="1020" width="10.375" style="67" customWidth="1"/>
    <col min="1021" max="1021" width="32.125" style="67" customWidth="1"/>
    <col min="1022" max="1022" width="13.625" style="67" customWidth="1"/>
    <col min="1023" max="1023" width="7.125" style="67" customWidth="1"/>
    <col min="1024" max="1024" width="4.375" style="67" customWidth="1"/>
    <col min="1025" max="1027" width="9.375" style="67" customWidth="1"/>
    <col min="1028" max="1270" width="9" style="67"/>
    <col min="1271" max="1271" width="1" style="67" customWidth="1"/>
    <col min="1272" max="1272" width="16.25" style="67" customWidth="1"/>
    <col min="1273" max="1273" width="18.625" style="67" customWidth="1"/>
    <col min="1274" max="1274" width="6" style="67" customWidth="1"/>
    <col min="1275" max="1275" width="15.875" style="67" customWidth="1"/>
    <col min="1276" max="1276" width="10.375" style="67" customWidth="1"/>
    <col min="1277" max="1277" width="32.125" style="67" customWidth="1"/>
    <col min="1278" max="1278" width="13.625" style="67" customWidth="1"/>
    <col min="1279" max="1279" width="7.125" style="67" customWidth="1"/>
    <col min="1280" max="1280" width="4.375" style="67" customWidth="1"/>
    <col min="1281" max="1283" width="9.375" style="67" customWidth="1"/>
    <col min="1284" max="1526" width="9" style="67"/>
    <col min="1527" max="1527" width="1" style="67" customWidth="1"/>
    <col min="1528" max="1528" width="16.25" style="67" customWidth="1"/>
    <col min="1529" max="1529" width="18.625" style="67" customWidth="1"/>
    <col min="1530" max="1530" width="6" style="67" customWidth="1"/>
    <col min="1531" max="1531" width="15.875" style="67" customWidth="1"/>
    <col min="1532" max="1532" width="10.375" style="67" customWidth="1"/>
    <col min="1533" max="1533" width="32.125" style="67" customWidth="1"/>
    <col min="1534" max="1534" width="13.625" style="67" customWidth="1"/>
    <col min="1535" max="1535" width="7.125" style="67" customWidth="1"/>
    <col min="1536" max="1536" width="4.375" style="67" customWidth="1"/>
    <col min="1537" max="1539" width="9.375" style="67" customWidth="1"/>
    <col min="1540" max="1782" width="9" style="67"/>
    <col min="1783" max="1783" width="1" style="67" customWidth="1"/>
    <col min="1784" max="1784" width="16.25" style="67" customWidth="1"/>
    <col min="1785" max="1785" width="18.625" style="67" customWidth="1"/>
    <col min="1786" max="1786" width="6" style="67" customWidth="1"/>
    <col min="1787" max="1787" width="15.875" style="67" customWidth="1"/>
    <col min="1788" max="1788" width="10.375" style="67" customWidth="1"/>
    <col min="1789" max="1789" width="32.125" style="67" customWidth="1"/>
    <col min="1790" max="1790" width="13.625" style="67" customWidth="1"/>
    <col min="1791" max="1791" width="7.125" style="67" customWidth="1"/>
    <col min="1792" max="1792" width="4.375" style="67" customWidth="1"/>
    <col min="1793" max="1795" width="9.375" style="67" customWidth="1"/>
    <col min="1796" max="2038" width="9" style="67"/>
    <col min="2039" max="2039" width="1" style="67" customWidth="1"/>
    <col min="2040" max="2040" width="16.25" style="67" customWidth="1"/>
    <col min="2041" max="2041" width="18.625" style="67" customWidth="1"/>
    <col min="2042" max="2042" width="6" style="67" customWidth="1"/>
    <col min="2043" max="2043" width="15.875" style="67" customWidth="1"/>
    <col min="2044" max="2044" width="10.375" style="67" customWidth="1"/>
    <col min="2045" max="2045" width="32.125" style="67" customWidth="1"/>
    <col min="2046" max="2046" width="13.625" style="67" customWidth="1"/>
    <col min="2047" max="2047" width="7.125" style="67" customWidth="1"/>
    <col min="2048" max="2048" width="4.375" style="67" customWidth="1"/>
    <col min="2049" max="2051" width="9.375" style="67" customWidth="1"/>
    <col min="2052" max="2294" width="9" style="67"/>
    <col min="2295" max="2295" width="1" style="67" customWidth="1"/>
    <col min="2296" max="2296" width="16.25" style="67" customWidth="1"/>
    <col min="2297" max="2297" width="18.625" style="67" customWidth="1"/>
    <col min="2298" max="2298" width="6" style="67" customWidth="1"/>
    <col min="2299" max="2299" width="15.875" style="67" customWidth="1"/>
    <col min="2300" max="2300" width="10.375" style="67" customWidth="1"/>
    <col min="2301" max="2301" width="32.125" style="67" customWidth="1"/>
    <col min="2302" max="2302" width="13.625" style="67" customWidth="1"/>
    <col min="2303" max="2303" width="7.125" style="67" customWidth="1"/>
    <col min="2304" max="2304" width="4.375" style="67" customWidth="1"/>
    <col min="2305" max="2307" width="9.375" style="67" customWidth="1"/>
    <col min="2308" max="2550" width="9" style="67"/>
    <col min="2551" max="2551" width="1" style="67" customWidth="1"/>
    <col min="2552" max="2552" width="16.25" style="67" customWidth="1"/>
    <col min="2553" max="2553" width="18.625" style="67" customWidth="1"/>
    <col min="2554" max="2554" width="6" style="67" customWidth="1"/>
    <col min="2555" max="2555" width="15.875" style="67" customWidth="1"/>
    <col min="2556" max="2556" width="10.375" style="67" customWidth="1"/>
    <col min="2557" max="2557" width="32.125" style="67" customWidth="1"/>
    <col min="2558" max="2558" width="13.625" style="67" customWidth="1"/>
    <col min="2559" max="2559" width="7.125" style="67" customWidth="1"/>
    <col min="2560" max="2560" width="4.375" style="67" customWidth="1"/>
    <col min="2561" max="2563" width="9.375" style="67" customWidth="1"/>
    <col min="2564" max="2806" width="9" style="67"/>
    <col min="2807" max="2807" width="1" style="67" customWidth="1"/>
    <col min="2808" max="2808" width="16.25" style="67" customWidth="1"/>
    <col min="2809" max="2809" width="18.625" style="67" customWidth="1"/>
    <col min="2810" max="2810" width="6" style="67" customWidth="1"/>
    <col min="2811" max="2811" width="15.875" style="67" customWidth="1"/>
    <col min="2812" max="2812" width="10.375" style="67" customWidth="1"/>
    <col min="2813" max="2813" width="32.125" style="67" customWidth="1"/>
    <col min="2814" max="2814" width="13.625" style="67" customWidth="1"/>
    <col min="2815" max="2815" width="7.125" style="67" customWidth="1"/>
    <col min="2816" max="2816" width="4.375" style="67" customWidth="1"/>
    <col min="2817" max="2819" width="9.375" style="67" customWidth="1"/>
    <col min="2820" max="3062" width="9" style="67"/>
    <col min="3063" max="3063" width="1" style="67" customWidth="1"/>
    <col min="3064" max="3064" width="16.25" style="67" customWidth="1"/>
    <col min="3065" max="3065" width="18.625" style="67" customWidth="1"/>
    <col min="3066" max="3066" width="6" style="67" customWidth="1"/>
    <col min="3067" max="3067" width="15.875" style="67" customWidth="1"/>
    <col min="3068" max="3068" width="10.375" style="67" customWidth="1"/>
    <col min="3069" max="3069" width="32.125" style="67" customWidth="1"/>
    <col min="3070" max="3070" width="13.625" style="67" customWidth="1"/>
    <col min="3071" max="3071" width="7.125" style="67" customWidth="1"/>
    <col min="3072" max="3072" width="4.375" style="67" customWidth="1"/>
    <col min="3073" max="3075" width="9.375" style="67" customWidth="1"/>
    <col min="3076" max="3318" width="9" style="67"/>
    <col min="3319" max="3319" width="1" style="67" customWidth="1"/>
    <col min="3320" max="3320" width="16.25" style="67" customWidth="1"/>
    <col min="3321" max="3321" width="18.625" style="67" customWidth="1"/>
    <col min="3322" max="3322" width="6" style="67" customWidth="1"/>
    <col min="3323" max="3323" width="15.875" style="67" customWidth="1"/>
    <col min="3324" max="3324" width="10.375" style="67" customWidth="1"/>
    <col min="3325" max="3325" width="32.125" style="67" customWidth="1"/>
    <col min="3326" max="3326" width="13.625" style="67" customWidth="1"/>
    <col min="3327" max="3327" width="7.125" style="67" customWidth="1"/>
    <col min="3328" max="3328" width="4.375" style="67" customWidth="1"/>
    <col min="3329" max="3331" width="9.375" style="67" customWidth="1"/>
    <col min="3332" max="3574" width="9" style="67"/>
    <col min="3575" max="3575" width="1" style="67" customWidth="1"/>
    <col min="3576" max="3576" width="16.25" style="67" customWidth="1"/>
    <col min="3577" max="3577" width="18.625" style="67" customWidth="1"/>
    <col min="3578" max="3578" width="6" style="67" customWidth="1"/>
    <col min="3579" max="3579" width="15.875" style="67" customWidth="1"/>
    <col min="3580" max="3580" width="10.375" style="67" customWidth="1"/>
    <col min="3581" max="3581" width="32.125" style="67" customWidth="1"/>
    <col min="3582" max="3582" width="13.625" style="67" customWidth="1"/>
    <col min="3583" max="3583" width="7.125" style="67" customWidth="1"/>
    <col min="3584" max="3584" width="4.375" style="67" customWidth="1"/>
    <col min="3585" max="3587" width="9.375" style="67" customWidth="1"/>
    <col min="3588" max="3830" width="9" style="67"/>
    <col min="3831" max="3831" width="1" style="67" customWidth="1"/>
    <col min="3832" max="3832" width="16.25" style="67" customWidth="1"/>
    <col min="3833" max="3833" width="18.625" style="67" customWidth="1"/>
    <col min="3834" max="3834" width="6" style="67" customWidth="1"/>
    <col min="3835" max="3835" width="15.875" style="67" customWidth="1"/>
    <col min="3836" max="3836" width="10.375" style="67" customWidth="1"/>
    <col min="3837" max="3837" width="32.125" style="67" customWidth="1"/>
    <col min="3838" max="3838" width="13.625" style="67" customWidth="1"/>
    <col min="3839" max="3839" width="7.125" style="67" customWidth="1"/>
    <col min="3840" max="3840" width="4.375" style="67" customWidth="1"/>
    <col min="3841" max="3843" width="9.375" style="67" customWidth="1"/>
    <col min="3844" max="4086" width="9" style="67"/>
    <col min="4087" max="4087" width="1" style="67" customWidth="1"/>
    <col min="4088" max="4088" width="16.25" style="67" customWidth="1"/>
    <col min="4089" max="4089" width="18.625" style="67" customWidth="1"/>
    <col min="4090" max="4090" width="6" style="67" customWidth="1"/>
    <col min="4091" max="4091" width="15.875" style="67" customWidth="1"/>
    <col min="4092" max="4092" width="10.375" style="67" customWidth="1"/>
    <col min="4093" max="4093" width="32.125" style="67" customWidth="1"/>
    <col min="4094" max="4094" width="13.625" style="67" customWidth="1"/>
    <col min="4095" max="4095" width="7.125" style="67" customWidth="1"/>
    <col min="4096" max="4096" width="4.375" style="67" customWidth="1"/>
    <col min="4097" max="4099" width="9.375" style="67" customWidth="1"/>
    <col min="4100" max="4342" width="9" style="67"/>
    <col min="4343" max="4343" width="1" style="67" customWidth="1"/>
    <col min="4344" max="4344" width="16.25" style="67" customWidth="1"/>
    <col min="4345" max="4345" width="18.625" style="67" customWidth="1"/>
    <col min="4346" max="4346" width="6" style="67" customWidth="1"/>
    <col min="4347" max="4347" width="15.875" style="67" customWidth="1"/>
    <col min="4348" max="4348" width="10.375" style="67" customWidth="1"/>
    <col min="4349" max="4349" width="32.125" style="67" customWidth="1"/>
    <col min="4350" max="4350" width="13.625" style="67" customWidth="1"/>
    <col min="4351" max="4351" width="7.125" style="67" customWidth="1"/>
    <col min="4352" max="4352" width="4.375" style="67" customWidth="1"/>
    <col min="4353" max="4355" width="9.375" style="67" customWidth="1"/>
    <col min="4356" max="4598" width="9" style="67"/>
    <col min="4599" max="4599" width="1" style="67" customWidth="1"/>
    <col min="4600" max="4600" width="16.25" style="67" customWidth="1"/>
    <col min="4601" max="4601" width="18.625" style="67" customWidth="1"/>
    <col min="4602" max="4602" width="6" style="67" customWidth="1"/>
    <col min="4603" max="4603" width="15.875" style="67" customWidth="1"/>
    <col min="4604" max="4604" width="10.375" style="67" customWidth="1"/>
    <col min="4605" max="4605" width="32.125" style="67" customWidth="1"/>
    <col min="4606" max="4606" width="13.625" style="67" customWidth="1"/>
    <col min="4607" max="4607" width="7.125" style="67" customWidth="1"/>
    <col min="4608" max="4608" width="4.375" style="67" customWidth="1"/>
    <col min="4609" max="4611" width="9.375" style="67" customWidth="1"/>
    <col min="4612" max="4854" width="9" style="67"/>
    <col min="4855" max="4855" width="1" style="67" customWidth="1"/>
    <col min="4856" max="4856" width="16.25" style="67" customWidth="1"/>
    <col min="4857" max="4857" width="18.625" style="67" customWidth="1"/>
    <col min="4858" max="4858" width="6" style="67" customWidth="1"/>
    <col min="4859" max="4859" width="15.875" style="67" customWidth="1"/>
    <col min="4860" max="4860" width="10.375" style="67" customWidth="1"/>
    <col min="4861" max="4861" width="32.125" style="67" customWidth="1"/>
    <col min="4862" max="4862" width="13.625" style="67" customWidth="1"/>
    <col min="4863" max="4863" width="7.125" style="67" customWidth="1"/>
    <col min="4864" max="4864" width="4.375" style="67" customWidth="1"/>
    <col min="4865" max="4867" width="9.375" style="67" customWidth="1"/>
    <col min="4868" max="5110" width="9" style="67"/>
    <col min="5111" max="5111" width="1" style="67" customWidth="1"/>
    <col min="5112" max="5112" width="16.25" style="67" customWidth="1"/>
    <col min="5113" max="5113" width="18.625" style="67" customWidth="1"/>
    <col min="5114" max="5114" width="6" style="67" customWidth="1"/>
    <col min="5115" max="5115" width="15.875" style="67" customWidth="1"/>
    <col min="5116" max="5116" width="10.375" style="67" customWidth="1"/>
    <col min="5117" max="5117" width="32.125" style="67" customWidth="1"/>
    <col min="5118" max="5118" width="13.625" style="67" customWidth="1"/>
    <col min="5119" max="5119" width="7.125" style="67" customWidth="1"/>
    <col min="5120" max="5120" width="4.375" style="67" customWidth="1"/>
    <col min="5121" max="5123" width="9.375" style="67" customWidth="1"/>
    <col min="5124" max="5366" width="9" style="67"/>
    <col min="5367" max="5367" width="1" style="67" customWidth="1"/>
    <col min="5368" max="5368" width="16.25" style="67" customWidth="1"/>
    <col min="5369" max="5369" width="18.625" style="67" customWidth="1"/>
    <col min="5370" max="5370" width="6" style="67" customWidth="1"/>
    <col min="5371" max="5371" width="15.875" style="67" customWidth="1"/>
    <col min="5372" max="5372" width="10.375" style="67" customWidth="1"/>
    <col min="5373" max="5373" width="32.125" style="67" customWidth="1"/>
    <col min="5374" max="5374" width="13.625" style="67" customWidth="1"/>
    <col min="5375" max="5375" width="7.125" style="67" customWidth="1"/>
    <col min="5376" max="5376" width="4.375" style="67" customWidth="1"/>
    <col min="5377" max="5379" width="9.375" style="67" customWidth="1"/>
    <col min="5380" max="5622" width="9" style="67"/>
    <col min="5623" max="5623" width="1" style="67" customWidth="1"/>
    <col min="5624" max="5624" width="16.25" style="67" customWidth="1"/>
    <col min="5625" max="5625" width="18.625" style="67" customWidth="1"/>
    <col min="5626" max="5626" width="6" style="67" customWidth="1"/>
    <col min="5627" max="5627" width="15.875" style="67" customWidth="1"/>
    <col min="5628" max="5628" width="10.375" style="67" customWidth="1"/>
    <col min="5629" max="5629" width="32.125" style="67" customWidth="1"/>
    <col min="5630" max="5630" width="13.625" style="67" customWidth="1"/>
    <col min="5631" max="5631" width="7.125" style="67" customWidth="1"/>
    <col min="5632" max="5632" width="4.375" style="67" customWidth="1"/>
    <col min="5633" max="5635" width="9.375" style="67" customWidth="1"/>
    <col min="5636" max="5878" width="9" style="67"/>
    <col min="5879" max="5879" width="1" style="67" customWidth="1"/>
    <col min="5880" max="5880" width="16.25" style="67" customWidth="1"/>
    <col min="5881" max="5881" width="18.625" style="67" customWidth="1"/>
    <col min="5882" max="5882" width="6" style="67" customWidth="1"/>
    <col min="5883" max="5883" width="15.875" style="67" customWidth="1"/>
    <col min="5884" max="5884" width="10.375" style="67" customWidth="1"/>
    <col min="5885" max="5885" width="32.125" style="67" customWidth="1"/>
    <col min="5886" max="5886" width="13.625" style="67" customWidth="1"/>
    <col min="5887" max="5887" width="7.125" style="67" customWidth="1"/>
    <col min="5888" max="5888" width="4.375" style="67" customWidth="1"/>
    <col min="5889" max="5891" width="9.375" style="67" customWidth="1"/>
    <col min="5892" max="6134" width="9" style="67"/>
    <col min="6135" max="6135" width="1" style="67" customWidth="1"/>
    <col min="6136" max="6136" width="16.25" style="67" customWidth="1"/>
    <col min="6137" max="6137" width="18.625" style="67" customWidth="1"/>
    <col min="6138" max="6138" width="6" style="67" customWidth="1"/>
    <col min="6139" max="6139" width="15.875" style="67" customWidth="1"/>
    <col min="6140" max="6140" width="10.375" style="67" customWidth="1"/>
    <col min="6141" max="6141" width="32.125" style="67" customWidth="1"/>
    <col min="6142" max="6142" width="13.625" style="67" customWidth="1"/>
    <col min="6143" max="6143" width="7.125" style="67" customWidth="1"/>
    <col min="6144" max="6144" width="4.375" style="67" customWidth="1"/>
    <col min="6145" max="6147" width="9.375" style="67" customWidth="1"/>
    <col min="6148" max="6390" width="9" style="67"/>
    <col min="6391" max="6391" width="1" style="67" customWidth="1"/>
    <col min="6392" max="6392" width="16.25" style="67" customWidth="1"/>
    <col min="6393" max="6393" width="18.625" style="67" customWidth="1"/>
    <col min="6394" max="6394" width="6" style="67" customWidth="1"/>
    <col min="6395" max="6395" width="15.875" style="67" customWidth="1"/>
    <col min="6396" max="6396" width="10.375" style="67" customWidth="1"/>
    <col min="6397" max="6397" width="32.125" style="67" customWidth="1"/>
    <col min="6398" max="6398" width="13.625" style="67" customWidth="1"/>
    <col min="6399" max="6399" width="7.125" style="67" customWidth="1"/>
    <col min="6400" max="6400" width="4.375" style="67" customWidth="1"/>
    <col min="6401" max="6403" width="9.375" style="67" customWidth="1"/>
    <col min="6404" max="6646" width="9" style="67"/>
    <col min="6647" max="6647" width="1" style="67" customWidth="1"/>
    <col min="6648" max="6648" width="16.25" style="67" customWidth="1"/>
    <col min="6649" max="6649" width="18.625" style="67" customWidth="1"/>
    <col min="6650" max="6650" width="6" style="67" customWidth="1"/>
    <col min="6651" max="6651" width="15.875" style="67" customWidth="1"/>
    <col min="6652" max="6652" width="10.375" style="67" customWidth="1"/>
    <col min="6653" max="6653" width="32.125" style="67" customWidth="1"/>
    <col min="6654" max="6654" width="13.625" style="67" customWidth="1"/>
    <col min="6655" max="6655" width="7.125" style="67" customWidth="1"/>
    <col min="6656" max="6656" width="4.375" style="67" customWidth="1"/>
    <col min="6657" max="6659" width="9.375" style="67" customWidth="1"/>
    <col min="6660" max="6902" width="9" style="67"/>
    <col min="6903" max="6903" width="1" style="67" customWidth="1"/>
    <col min="6904" max="6904" width="16.25" style="67" customWidth="1"/>
    <col min="6905" max="6905" width="18.625" style="67" customWidth="1"/>
    <col min="6906" max="6906" width="6" style="67" customWidth="1"/>
    <col min="6907" max="6907" width="15.875" style="67" customWidth="1"/>
    <col min="6908" max="6908" width="10.375" style="67" customWidth="1"/>
    <col min="6909" max="6909" width="32.125" style="67" customWidth="1"/>
    <col min="6910" max="6910" width="13.625" style="67" customWidth="1"/>
    <col min="6911" max="6911" width="7.125" style="67" customWidth="1"/>
    <col min="6912" max="6912" width="4.375" style="67" customWidth="1"/>
    <col min="6913" max="6915" width="9.375" style="67" customWidth="1"/>
    <col min="6916" max="7158" width="9" style="67"/>
    <col min="7159" max="7159" width="1" style="67" customWidth="1"/>
    <col min="7160" max="7160" width="16.25" style="67" customWidth="1"/>
    <col min="7161" max="7161" width="18.625" style="67" customWidth="1"/>
    <col min="7162" max="7162" width="6" style="67" customWidth="1"/>
    <col min="7163" max="7163" width="15.875" style="67" customWidth="1"/>
    <col min="7164" max="7164" width="10.375" style="67" customWidth="1"/>
    <col min="7165" max="7165" width="32.125" style="67" customWidth="1"/>
    <col min="7166" max="7166" width="13.625" style="67" customWidth="1"/>
    <col min="7167" max="7167" width="7.125" style="67" customWidth="1"/>
    <col min="7168" max="7168" width="4.375" style="67" customWidth="1"/>
    <col min="7169" max="7171" width="9.375" style="67" customWidth="1"/>
    <col min="7172" max="7414" width="9" style="67"/>
    <col min="7415" max="7415" width="1" style="67" customWidth="1"/>
    <col min="7416" max="7416" width="16.25" style="67" customWidth="1"/>
    <col min="7417" max="7417" width="18.625" style="67" customWidth="1"/>
    <col min="7418" max="7418" width="6" style="67" customWidth="1"/>
    <col min="7419" max="7419" width="15.875" style="67" customWidth="1"/>
    <col min="7420" max="7420" width="10.375" style="67" customWidth="1"/>
    <col min="7421" max="7421" width="32.125" style="67" customWidth="1"/>
    <col min="7422" max="7422" width="13.625" style="67" customWidth="1"/>
    <col min="7423" max="7423" width="7.125" style="67" customWidth="1"/>
    <col min="7424" max="7424" width="4.375" style="67" customWidth="1"/>
    <col min="7425" max="7427" width="9.375" style="67" customWidth="1"/>
    <col min="7428" max="7670" width="9" style="67"/>
    <col min="7671" max="7671" width="1" style="67" customWidth="1"/>
    <col min="7672" max="7672" width="16.25" style="67" customWidth="1"/>
    <col min="7673" max="7673" width="18.625" style="67" customWidth="1"/>
    <col min="7674" max="7674" width="6" style="67" customWidth="1"/>
    <col min="7675" max="7675" width="15.875" style="67" customWidth="1"/>
    <col min="7676" max="7676" width="10.375" style="67" customWidth="1"/>
    <col min="7677" max="7677" width="32.125" style="67" customWidth="1"/>
    <col min="7678" max="7678" width="13.625" style="67" customWidth="1"/>
    <col min="7679" max="7679" width="7.125" style="67" customWidth="1"/>
    <col min="7680" max="7680" width="4.375" style="67" customWidth="1"/>
    <col min="7681" max="7683" width="9.375" style="67" customWidth="1"/>
    <col min="7684" max="7926" width="9" style="67"/>
    <col min="7927" max="7927" width="1" style="67" customWidth="1"/>
    <col min="7928" max="7928" width="16.25" style="67" customWidth="1"/>
    <col min="7929" max="7929" width="18.625" style="67" customWidth="1"/>
    <col min="7930" max="7930" width="6" style="67" customWidth="1"/>
    <col min="7931" max="7931" width="15.875" style="67" customWidth="1"/>
    <col min="7932" max="7932" width="10.375" style="67" customWidth="1"/>
    <col min="7933" max="7933" width="32.125" style="67" customWidth="1"/>
    <col min="7934" max="7934" width="13.625" style="67" customWidth="1"/>
    <col min="7935" max="7935" width="7.125" style="67" customWidth="1"/>
    <col min="7936" max="7936" width="4.375" style="67" customWidth="1"/>
    <col min="7937" max="7939" width="9.375" style="67" customWidth="1"/>
    <col min="7940" max="8182" width="9" style="67"/>
    <col min="8183" max="8183" width="1" style="67" customWidth="1"/>
    <col min="8184" max="8184" width="16.25" style="67" customWidth="1"/>
    <col min="8185" max="8185" width="18.625" style="67" customWidth="1"/>
    <col min="8186" max="8186" width="6" style="67" customWidth="1"/>
    <col min="8187" max="8187" width="15.875" style="67" customWidth="1"/>
    <col min="8188" max="8188" width="10.375" style="67" customWidth="1"/>
    <col min="8189" max="8189" width="32.125" style="67" customWidth="1"/>
    <col min="8190" max="8190" width="13.625" style="67" customWidth="1"/>
    <col min="8191" max="8191" width="7.125" style="67" customWidth="1"/>
    <col min="8192" max="8192" width="4.375" style="67" customWidth="1"/>
    <col min="8193" max="8195" width="9.375" style="67" customWidth="1"/>
    <col min="8196" max="8438" width="9" style="67"/>
    <col min="8439" max="8439" width="1" style="67" customWidth="1"/>
    <col min="8440" max="8440" width="16.25" style="67" customWidth="1"/>
    <col min="8441" max="8441" width="18.625" style="67" customWidth="1"/>
    <col min="8442" max="8442" width="6" style="67" customWidth="1"/>
    <col min="8443" max="8443" width="15.875" style="67" customWidth="1"/>
    <col min="8444" max="8444" width="10.375" style="67" customWidth="1"/>
    <col min="8445" max="8445" width="32.125" style="67" customWidth="1"/>
    <col min="8446" max="8446" width="13.625" style="67" customWidth="1"/>
    <col min="8447" max="8447" width="7.125" style="67" customWidth="1"/>
    <col min="8448" max="8448" width="4.375" style="67" customWidth="1"/>
    <col min="8449" max="8451" width="9.375" style="67" customWidth="1"/>
    <col min="8452" max="8694" width="9" style="67"/>
    <col min="8695" max="8695" width="1" style="67" customWidth="1"/>
    <col min="8696" max="8696" width="16.25" style="67" customWidth="1"/>
    <col min="8697" max="8697" width="18.625" style="67" customWidth="1"/>
    <col min="8698" max="8698" width="6" style="67" customWidth="1"/>
    <col min="8699" max="8699" width="15.875" style="67" customWidth="1"/>
    <col min="8700" max="8700" width="10.375" style="67" customWidth="1"/>
    <col min="8701" max="8701" width="32.125" style="67" customWidth="1"/>
    <col min="8702" max="8702" width="13.625" style="67" customWidth="1"/>
    <col min="8703" max="8703" width="7.125" style="67" customWidth="1"/>
    <col min="8704" max="8704" width="4.375" style="67" customWidth="1"/>
    <col min="8705" max="8707" width="9.375" style="67" customWidth="1"/>
    <col min="8708" max="8950" width="9" style="67"/>
    <col min="8951" max="8951" width="1" style="67" customWidth="1"/>
    <col min="8952" max="8952" width="16.25" style="67" customWidth="1"/>
    <col min="8953" max="8953" width="18.625" style="67" customWidth="1"/>
    <col min="8954" max="8954" width="6" style="67" customWidth="1"/>
    <col min="8955" max="8955" width="15.875" style="67" customWidth="1"/>
    <col min="8956" max="8956" width="10.375" style="67" customWidth="1"/>
    <col min="8957" max="8957" width="32.125" style="67" customWidth="1"/>
    <col min="8958" max="8958" width="13.625" style="67" customWidth="1"/>
    <col min="8959" max="8959" width="7.125" style="67" customWidth="1"/>
    <col min="8960" max="8960" width="4.375" style="67" customWidth="1"/>
    <col min="8961" max="8963" width="9.375" style="67" customWidth="1"/>
    <col min="8964" max="9206" width="9" style="67"/>
    <col min="9207" max="9207" width="1" style="67" customWidth="1"/>
    <col min="9208" max="9208" width="16.25" style="67" customWidth="1"/>
    <col min="9209" max="9209" width="18.625" style="67" customWidth="1"/>
    <col min="9210" max="9210" width="6" style="67" customWidth="1"/>
    <col min="9211" max="9211" width="15.875" style="67" customWidth="1"/>
    <col min="9212" max="9212" width="10.375" style="67" customWidth="1"/>
    <col min="9213" max="9213" width="32.125" style="67" customWidth="1"/>
    <col min="9214" max="9214" width="13.625" style="67" customWidth="1"/>
    <col min="9215" max="9215" width="7.125" style="67" customWidth="1"/>
    <col min="9216" max="9216" width="4.375" style="67" customWidth="1"/>
    <col min="9217" max="9219" width="9.375" style="67" customWidth="1"/>
    <col min="9220" max="9462" width="9" style="67"/>
    <col min="9463" max="9463" width="1" style="67" customWidth="1"/>
    <col min="9464" max="9464" width="16.25" style="67" customWidth="1"/>
    <col min="9465" max="9465" width="18.625" style="67" customWidth="1"/>
    <col min="9466" max="9466" width="6" style="67" customWidth="1"/>
    <col min="9467" max="9467" width="15.875" style="67" customWidth="1"/>
    <col min="9468" max="9468" width="10.375" style="67" customWidth="1"/>
    <col min="9469" max="9469" width="32.125" style="67" customWidth="1"/>
    <col min="9470" max="9470" width="13.625" style="67" customWidth="1"/>
    <col min="9471" max="9471" width="7.125" style="67" customWidth="1"/>
    <col min="9472" max="9472" width="4.375" style="67" customWidth="1"/>
    <col min="9473" max="9475" width="9.375" style="67" customWidth="1"/>
    <col min="9476" max="9718" width="9" style="67"/>
    <col min="9719" max="9719" width="1" style="67" customWidth="1"/>
    <col min="9720" max="9720" width="16.25" style="67" customWidth="1"/>
    <col min="9721" max="9721" width="18.625" style="67" customWidth="1"/>
    <col min="9722" max="9722" width="6" style="67" customWidth="1"/>
    <col min="9723" max="9723" width="15.875" style="67" customWidth="1"/>
    <col min="9724" max="9724" width="10.375" style="67" customWidth="1"/>
    <col min="9725" max="9725" width="32.125" style="67" customWidth="1"/>
    <col min="9726" max="9726" width="13.625" style="67" customWidth="1"/>
    <col min="9727" max="9727" width="7.125" style="67" customWidth="1"/>
    <col min="9728" max="9728" width="4.375" style="67" customWidth="1"/>
    <col min="9729" max="9731" width="9.375" style="67" customWidth="1"/>
    <col min="9732" max="9974" width="9" style="67"/>
    <col min="9975" max="9975" width="1" style="67" customWidth="1"/>
    <col min="9976" max="9976" width="16.25" style="67" customWidth="1"/>
    <col min="9977" max="9977" width="18.625" style="67" customWidth="1"/>
    <col min="9978" max="9978" width="6" style="67" customWidth="1"/>
    <col min="9979" max="9979" width="15.875" style="67" customWidth="1"/>
    <col min="9980" max="9980" width="10.375" style="67" customWidth="1"/>
    <col min="9981" max="9981" width="32.125" style="67" customWidth="1"/>
    <col min="9982" max="9982" width="13.625" style="67" customWidth="1"/>
    <col min="9983" max="9983" width="7.125" style="67" customWidth="1"/>
    <col min="9984" max="9984" width="4.375" style="67" customWidth="1"/>
    <col min="9985" max="9987" width="9.375" style="67" customWidth="1"/>
    <col min="9988" max="10230" width="9" style="67"/>
    <col min="10231" max="10231" width="1" style="67" customWidth="1"/>
    <col min="10232" max="10232" width="16.25" style="67" customWidth="1"/>
    <col min="10233" max="10233" width="18.625" style="67" customWidth="1"/>
    <col min="10234" max="10234" width="6" style="67" customWidth="1"/>
    <col min="10235" max="10235" width="15.875" style="67" customWidth="1"/>
    <col min="10236" max="10236" width="10.375" style="67" customWidth="1"/>
    <col min="10237" max="10237" width="32.125" style="67" customWidth="1"/>
    <col min="10238" max="10238" width="13.625" style="67" customWidth="1"/>
    <col min="10239" max="10239" width="7.125" style="67" customWidth="1"/>
    <col min="10240" max="10240" width="4.375" style="67" customWidth="1"/>
    <col min="10241" max="10243" width="9.375" style="67" customWidth="1"/>
    <col min="10244" max="10486" width="9" style="67"/>
    <col min="10487" max="10487" width="1" style="67" customWidth="1"/>
    <col min="10488" max="10488" width="16.25" style="67" customWidth="1"/>
    <col min="10489" max="10489" width="18.625" style="67" customWidth="1"/>
    <col min="10490" max="10490" width="6" style="67" customWidth="1"/>
    <col min="10491" max="10491" width="15.875" style="67" customWidth="1"/>
    <col min="10492" max="10492" width="10.375" style="67" customWidth="1"/>
    <col min="10493" max="10493" width="32.125" style="67" customWidth="1"/>
    <col min="10494" max="10494" width="13.625" style="67" customWidth="1"/>
    <col min="10495" max="10495" width="7.125" style="67" customWidth="1"/>
    <col min="10496" max="10496" width="4.375" style="67" customWidth="1"/>
    <col min="10497" max="10499" width="9.375" style="67" customWidth="1"/>
    <col min="10500" max="10742" width="9" style="67"/>
    <col min="10743" max="10743" width="1" style="67" customWidth="1"/>
    <col min="10744" max="10744" width="16.25" style="67" customWidth="1"/>
    <col min="10745" max="10745" width="18.625" style="67" customWidth="1"/>
    <col min="10746" max="10746" width="6" style="67" customWidth="1"/>
    <col min="10747" max="10747" width="15.875" style="67" customWidth="1"/>
    <col min="10748" max="10748" width="10.375" style="67" customWidth="1"/>
    <col min="10749" max="10749" width="32.125" style="67" customWidth="1"/>
    <col min="10750" max="10750" width="13.625" style="67" customWidth="1"/>
    <col min="10751" max="10751" width="7.125" style="67" customWidth="1"/>
    <col min="10752" max="10752" width="4.375" style="67" customWidth="1"/>
    <col min="10753" max="10755" width="9.375" style="67" customWidth="1"/>
    <col min="10756" max="10998" width="9" style="67"/>
    <col min="10999" max="10999" width="1" style="67" customWidth="1"/>
    <col min="11000" max="11000" width="16.25" style="67" customWidth="1"/>
    <col min="11001" max="11001" width="18.625" style="67" customWidth="1"/>
    <col min="11002" max="11002" width="6" style="67" customWidth="1"/>
    <col min="11003" max="11003" width="15.875" style="67" customWidth="1"/>
    <col min="11004" max="11004" width="10.375" style="67" customWidth="1"/>
    <col min="11005" max="11005" width="32.125" style="67" customWidth="1"/>
    <col min="11006" max="11006" width="13.625" style="67" customWidth="1"/>
    <col min="11007" max="11007" width="7.125" style="67" customWidth="1"/>
    <col min="11008" max="11008" width="4.375" style="67" customWidth="1"/>
    <col min="11009" max="11011" width="9.375" style="67" customWidth="1"/>
    <col min="11012" max="11254" width="9" style="67"/>
    <col min="11255" max="11255" width="1" style="67" customWidth="1"/>
    <col min="11256" max="11256" width="16.25" style="67" customWidth="1"/>
    <col min="11257" max="11257" width="18.625" style="67" customWidth="1"/>
    <col min="11258" max="11258" width="6" style="67" customWidth="1"/>
    <col min="11259" max="11259" width="15.875" style="67" customWidth="1"/>
    <col min="11260" max="11260" width="10.375" style="67" customWidth="1"/>
    <col min="11261" max="11261" width="32.125" style="67" customWidth="1"/>
    <col min="11262" max="11262" width="13.625" style="67" customWidth="1"/>
    <col min="11263" max="11263" width="7.125" style="67" customWidth="1"/>
    <col min="11264" max="11264" width="4.375" style="67" customWidth="1"/>
    <col min="11265" max="11267" width="9.375" style="67" customWidth="1"/>
    <col min="11268" max="11510" width="9" style="67"/>
    <col min="11511" max="11511" width="1" style="67" customWidth="1"/>
    <col min="11512" max="11512" width="16.25" style="67" customWidth="1"/>
    <col min="11513" max="11513" width="18.625" style="67" customWidth="1"/>
    <col min="11514" max="11514" width="6" style="67" customWidth="1"/>
    <col min="11515" max="11515" width="15.875" style="67" customWidth="1"/>
    <col min="11516" max="11516" width="10.375" style="67" customWidth="1"/>
    <col min="11517" max="11517" width="32.125" style="67" customWidth="1"/>
    <col min="11518" max="11518" width="13.625" style="67" customWidth="1"/>
    <col min="11519" max="11519" width="7.125" style="67" customWidth="1"/>
    <col min="11520" max="11520" width="4.375" style="67" customWidth="1"/>
    <col min="11521" max="11523" width="9.375" style="67" customWidth="1"/>
    <col min="11524" max="11766" width="9" style="67"/>
    <col min="11767" max="11767" width="1" style="67" customWidth="1"/>
    <col min="11768" max="11768" width="16.25" style="67" customWidth="1"/>
    <col min="11769" max="11769" width="18.625" style="67" customWidth="1"/>
    <col min="11770" max="11770" width="6" style="67" customWidth="1"/>
    <col min="11771" max="11771" width="15.875" style="67" customWidth="1"/>
    <col min="11772" max="11772" width="10.375" style="67" customWidth="1"/>
    <col min="11773" max="11773" width="32.125" style="67" customWidth="1"/>
    <col min="11774" max="11774" width="13.625" style="67" customWidth="1"/>
    <col min="11775" max="11775" width="7.125" style="67" customWidth="1"/>
    <col min="11776" max="11776" width="4.375" style="67" customWidth="1"/>
    <col min="11777" max="11779" width="9.375" style="67" customWidth="1"/>
    <col min="11780" max="12022" width="9" style="67"/>
    <col min="12023" max="12023" width="1" style="67" customWidth="1"/>
    <col min="12024" max="12024" width="16.25" style="67" customWidth="1"/>
    <col min="12025" max="12025" width="18.625" style="67" customWidth="1"/>
    <col min="12026" max="12026" width="6" style="67" customWidth="1"/>
    <col min="12027" max="12027" width="15.875" style="67" customWidth="1"/>
    <col min="12028" max="12028" width="10.375" style="67" customWidth="1"/>
    <col min="12029" max="12029" width="32.125" style="67" customWidth="1"/>
    <col min="12030" max="12030" width="13.625" style="67" customWidth="1"/>
    <col min="12031" max="12031" width="7.125" style="67" customWidth="1"/>
    <col min="12032" max="12032" width="4.375" style="67" customWidth="1"/>
    <col min="12033" max="12035" width="9.375" style="67" customWidth="1"/>
    <col min="12036" max="12278" width="9" style="67"/>
    <col min="12279" max="12279" width="1" style="67" customWidth="1"/>
    <col min="12280" max="12280" width="16.25" style="67" customWidth="1"/>
    <col min="12281" max="12281" width="18.625" style="67" customWidth="1"/>
    <col min="12282" max="12282" width="6" style="67" customWidth="1"/>
    <col min="12283" max="12283" width="15.875" style="67" customWidth="1"/>
    <col min="12284" max="12284" width="10.375" style="67" customWidth="1"/>
    <col min="12285" max="12285" width="32.125" style="67" customWidth="1"/>
    <col min="12286" max="12286" width="13.625" style="67" customWidth="1"/>
    <col min="12287" max="12287" width="7.125" style="67" customWidth="1"/>
    <col min="12288" max="12288" width="4.375" style="67" customWidth="1"/>
    <col min="12289" max="12291" width="9.375" style="67" customWidth="1"/>
    <col min="12292" max="12534" width="9" style="67"/>
    <col min="12535" max="12535" width="1" style="67" customWidth="1"/>
    <col min="12536" max="12536" width="16.25" style="67" customWidth="1"/>
    <col min="12537" max="12537" width="18.625" style="67" customWidth="1"/>
    <col min="12538" max="12538" width="6" style="67" customWidth="1"/>
    <col min="12539" max="12539" width="15.875" style="67" customWidth="1"/>
    <col min="12540" max="12540" width="10.375" style="67" customWidth="1"/>
    <col min="12541" max="12541" width="32.125" style="67" customWidth="1"/>
    <col min="12542" max="12542" width="13.625" style="67" customWidth="1"/>
    <col min="12543" max="12543" width="7.125" style="67" customWidth="1"/>
    <col min="12544" max="12544" width="4.375" style="67" customWidth="1"/>
    <col min="12545" max="12547" width="9.375" style="67" customWidth="1"/>
    <col min="12548" max="12790" width="9" style="67"/>
    <col min="12791" max="12791" width="1" style="67" customWidth="1"/>
    <col min="12792" max="12792" width="16.25" style="67" customWidth="1"/>
    <col min="12793" max="12793" width="18.625" style="67" customWidth="1"/>
    <col min="12794" max="12794" width="6" style="67" customWidth="1"/>
    <col min="12795" max="12795" width="15.875" style="67" customWidth="1"/>
    <col min="12796" max="12796" width="10.375" style="67" customWidth="1"/>
    <col min="12797" max="12797" width="32.125" style="67" customWidth="1"/>
    <col min="12798" max="12798" width="13.625" style="67" customWidth="1"/>
    <col min="12799" max="12799" width="7.125" style="67" customWidth="1"/>
    <col min="12800" max="12800" width="4.375" style="67" customWidth="1"/>
    <col min="12801" max="12803" width="9.375" style="67" customWidth="1"/>
    <col min="12804" max="13046" width="9" style="67"/>
    <col min="13047" max="13047" width="1" style="67" customWidth="1"/>
    <col min="13048" max="13048" width="16.25" style="67" customWidth="1"/>
    <col min="13049" max="13049" width="18.625" style="67" customWidth="1"/>
    <col min="13050" max="13050" width="6" style="67" customWidth="1"/>
    <col min="13051" max="13051" width="15.875" style="67" customWidth="1"/>
    <col min="13052" max="13052" width="10.375" style="67" customWidth="1"/>
    <col min="13053" max="13053" width="32.125" style="67" customWidth="1"/>
    <col min="13054" max="13054" width="13.625" style="67" customWidth="1"/>
    <col min="13055" max="13055" width="7.125" style="67" customWidth="1"/>
    <col min="13056" max="13056" width="4.375" style="67" customWidth="1"/>
    <col min="13057" max="13059" width="9.375" style="67" customWidth="1"/>
    <col min="13060" max="13302" width="9" style="67"/>
    <col min="13303" max="13303" width="1" style="67" customWidth="1"/>
    <col min="13304" max="13304" width="16.25" style="67" customWidth="1"/>
    <col min="13305" max="13305" width="18.625" style="67" customWidth="1"/>
    <col min="13306" max="13306" width="6" style="67" customWidth="1"/>
    <col min="13307" max="13307" width="15.875" style="67" customWidth="1"/>
    <col min="13308" max="13308" width="10.375" style="67" customWidth="1"/>
    <col min="13309" max="13309" width="32.125" style="67" customWidth="1"/>
    <col min="13310" max="13310" width="13.625" style="67" customWidth="1"/>
    <col min="13311" max="13311" width="7.125" style="67" customWidth="1"/>
    <col min="13312" max="13312" width="4.375" style="67" customWidth="1"/>
    <col min="13313" max="13315" width="9.375" style="67" customWidth="1"/>
    <col min="13316" max="13558" width="9" style="67"/>
    <col min="13559" max="13559" width="1" style="67" customWidth="1"/>
    <col min="13560" max="13560" width="16.25" style="67" customWidth="1"/>
    <col min="13561" max="13561" width="18.625" style="67" customWidth="1"/>
    <col min="13562" max="13562" width="6" style="67" customWidth="1"/>
    <col min="13563" max="13563" width="15.875" style="67" customWidth="1"/>
    <col min="13564" max="13564" width="10.375" style="67" customWidth="1"/>
    <col min="13565" max="13565" width="32.125" style="67" customWidth="1"/>
    <col min="13566" max="13566" width="13.625" style="67" customWidth="1"/>
    <col min="13567" max="13567" width="7.125" style="67" customWidth="1"/>
    <col min="13568" max="13568" width="4.375" style="67" customWidth="1"/>
    <col min="13569" max="13571" width="9.375" style="67" customWidth="1"/>
    <col min="13572" max="13814" width="9" style="67"/>
    <col min="13815" max="13815" width="1" style="67" customWidth="1"/>
    <col min="13816" max="13816" width="16.25" style="67" customWidth="1"/>
    <col min="13817" max="13817" width="18.625" style="67" customWidth="1"/>
    <col min="13818" max="13818" width="6" style="67" customWidth="1"/>
    <col min="13819" max="13819" width="15.875" style="67" customWidth="1"/>
    <col min="13820" max="13820" width="10.375" style="67" customWidth="1"/>
    <col min="13821" max="13821" width="32.125" style="67" customWidth="1"/>
    <col min="13822" max="13822" width="13.625" style="67" customWidth="1"/>
    <col min="13823" max="13823" width="7.125" style="67" customWidth="1"/>
    <col min="13824" max="13824" width="4.375" style="67" customWidth="1"/>
    <col min="13825" max="13827" width="9.375" style="67" customWidth="1"/>
    <col min="13828" max="14070" width="9" style="67"/>
    <col min="14071" max="14071" width="1" style="67" customWidth="1"/>
    <col min="14072" max="14072" width="16.25" style="67" customWidth="1"/>
    <col min="14073" max="14073" width="18.625" style="67" customWidth="1"/>
    <col min="14074" max="14074" width="6" style="67" customWidth="1"/>
    <col min="14075" max="14075" width="15.875" style="67" customWidth="1"/>
    <col min="14076" max="14076" width="10.375" style="67" customWidth="1"/>
    <col min="14077" max="14077" width="32.125" style="67" customWidth="1"/>
    <col min="14078" max="14078" width="13.625" style="67" customWidth="1"/>
    <col min="14079" max="14079" width="7.125" style="67" customWidth="1"/>
    <col min="14080" max="14080" width="4.375" style="67" customWidth="1"/>
    <col min="14081" max="14083" width="9.375" style="67" customWidth="1"/>
    <col min="14084" max="14326" width="9" style="67"/>
    <col min="14327" max="14327" width="1" style="67" customWidth="1"/>
    <col min="14328" max="14328" width="16.25" style="67" customWidth="1"/>
    <col min="14329" max="14329" width="18.625" style="67" customWidth="1"/>
    <col min="14330" max="14330" width="6" style="67" customWidth="1"/>
    <col min="14331" max="14331" width="15.875" style="67" customWidth="1"/>
    <col min="14332" max="14332" width="10.375" style="67" customWidth="1"/>
    <col min="14333" max="14333" width="32.125" style="67" customWidth="1"/>
    <col min="14334" max="14334" width="13.625" style="67" customWidth="1"/>
    <col min="14335" max="14335" width="7.125" style="67" customWidth="1"/>
    <col min="14336" max="14336" width="4.375" style="67" customWidth="1"/>
    <col min="14337" max="14339" width="9.375" style="67" customWidth="1"/>
    <col min="14340" max="14582" width="9" style="67"/>
    <col min="14583" max="14583" width="1" style="67" customWidth="1"/>
    <col min="14584" max="14584" width="16.25" style="67" customWidth="1"/>
    <col min="14585" max="14585" width="18.625" style="67" customWidth="1"/>
    <col min="14586" max="14586" width="6" style="67" customWidth="1"/>
    <col min="14587" max="14587" width="15.875" style="67" customWidth="1"/>
    <col min="14588" max="14588" width="10.375" style="67" customWidth="1"/>
    <col min="14589" max="14589" width="32.125" style="67" customWidth="1"/>
    <col min="14590" max="14590" width="13.625" style="67" customWidth="1"/>
    <col min="14591" max="14591" width="7.125" style="67" customWidth="1"/>
    <col min="14592" max="14592" width="4.375" style="67" customWidth="1"/>
    <col min="14593" max="14595" width="9.375" style="67" customWidth="1"/>
    <col min="14596" max="14838" width="9" style="67"/>
    <col min="14839" max="14839" width="1" style="67" customWidth="1"/>
    <col min="14840" max="14840" width="16.25" style="67" customWidth="1"/>
    <col min="14841" max="14841" width="18.625" style="67" customWidth="1"/>
    <col min="14842" max="14842" width="6" style="67" customWidth="1"/>
    <col min="14843" max="14843" width="15.875" style="67" customWidth="1"/>
    <col min="14844" max="14844" width="10.375" style="67" customWidth="1"/>
    <col min="14845" max="14845" width="32.125" style="67" customWidth="1"/>
    <col min="14846" max="14846" width="13.625" style="67" customWidth="1"/>
    <col min="14847" max="14847" width="7.125" style="67" customWidth="1"/>
    <col min="14848" max="14848" width="4.375" style="67" customWidth="1"/>
    <col min="14849" max="14851" width="9.375" style="67" customWidth="1"/>
    <col min="14852" max="15094" width="9" style="67"/>
    <col min="15095" max="15095" width="1" style="67" customWidth="1"/>
    <col min="15096" max="15096" width="16.25" style="67" customWidth="1"/>
    <col min="15097" max="15097" width="18.625" style="67" customWidth="1"/>
    <col min="15098" max="15098" width="6" style="67" customWidth="1"/>
    <col min="15099" max="15099" width="15.875" style="67" customWidth="1"/>
    <col min="15100" max="15100" width="10.375" style="67" customWidth="1"/>
    <col min="15101" max="15101" width="32.125" style="67" customWidth="1"/>
    <col min="15102" max="15102" width="13.625" style="67" customWidth="1"/>
    <col min="15103" max="15103" width="7.125" style="67" customWidth="1"/>
    <col min="15104" max="15104" width="4.375" style="67" customWidth="1"/>
    <col min="15105" max="15107" width="9.375" style="67" customWidth="1"/>
    <col min="15108" max="15350" width="9" style="67"/>
    <col min="15351" max="15351" width="1" style="67" customWidth="1"/>
    <col min="15352" max="15352" width="16.25" style="67" customWidth="1"/>
    <col min="15353" max="15353" width="18.625" style="67" customWidth="1"/>
    <col min="15354" max="15354" width="6" style="67" customWidth="1"/>
    <col min="15355" max="15355" width="15.875" style="67" customWidth="1"/>
    <col min="15356" max="15356" width="10.375" style="67" customWidth="1"/>
    <col min="15357" max="15357" width="32.125" style="67" customWidth="1"/>
    <col min="15358" max="15358" width="13.625" style="67" customWidth="1"/>
    <col min="15359" max="15359" width="7.125" style="67" customWidth="1"/>
    <col min="15360" max="15360" width="4.375" style="67" customWidth="1"/>
    <col min="15361" max="15363" width="9.375" style="67" customWidth="1"/>
    <col min="15364" max="15606" width="9" style="67"/>
    <col min="15607" max="15607" width="1" style="67" customWidth="1"/>
    <col min="15608" max="15608" width="16.25" style="67" customWidth="1"/>
    <col min="15609" max="15609" width="18.625" style="67" customWidth="1"/>
    <col min="15610" max="15610" width="6" style="67" customWidth="1"/>
    <col min="15611" max="15611" width="15.875" style="67" customWidth="1"/>
    <col min="15612" max="15612" width="10.375" style="67" customWidth="1"/>
    <col min="15613" max="15613" width="32.125" style="67" customWidth="1"/>
    <col min="15614" max="15614" width="13.625" style="67" customWidth="1"/>
    <col min="15615" max="15615" width="7.125" style="67" customWidth="1"/>
    <col min="15616" max="15616" width="4.375" style="67" customWidth="1"/>
    <col min="15617" max="15619" width="9.375" style="67" customWidth="1"/>
    <col min="15620" max="15862" width="9" style="67"/>
    <col min="15863" max="15863" width="1" style="67" customWidth="1"/>
    <col min="15864" max="15864" width="16.25" style="67" customWidth="1"/>
    <col min="15865" max="15865" width="18.625" style="67" customWidth="1"/>
    <col min="15866" max="15866" width="6" style="67" customWidth="1"/>
    <col min="15867" max="15867" width="15.875" style="67" customWidth="1"/>
    <col min="15868" max="15868" width="10.375" style="67" customWidth="1"/>
    <col min="15869" max="15869" width="32.125" style="67" customWidth="1"/>
    <col min="15870" max="15870" width="13.625" style="67" customWidth="1"/>
    <col min="15871" max="15871" width="7.125" style="67" customWidth="1"/>
    <col min="15872" max="15872" width="4.375" style="67" customWidth="1"/>
    <col min="15873" max="15875" width="9.375" style="67" customWidth="1"/>
    <col min="15876" max="16118" width="9" style="67"/>
    <col min="16119" max="16119" width="1" style="67" customWidth="1"/>
    <col min="16120" max="16120" width="16.25" style="67" customWidth="1"/>
    <col min="16121" max="16121" width="18.625" style="67" customWidth="1"/>
    <col min="16122" max="16122" width="6" style="67" customWidth="1"/>
    <col min="16123" max="16123" width="15.875" style="67" customWidth="1"/>
    <col min="16124" max="16124" width="10.375" style="67" customWidth="1"/>
    <col min="16125" max="16125" width="32.125" style="67" customWidth="1"/>
    <col min="16126" max="16126" width="13.625" style="67" customWidth="1"/>
    <col min="16127" max="16127" width="7.125" style="67" customWidth="1"/>
    <col min="16128" max="16128" width="4.375" style="67" customWidth="1"/>
    <col min="16129" max="16131" width="9.375" style="67" customWidth="1"/>
    <col min="16132" max="16384" width="9" style="67"/>
  </cols>
  <sheetData>
    <row r="1" spans="1:7" s="68" customFormat="1" ht="50.25" customHeight="1" x14ac:dyDescent="0.4">
      <c r="D1" s="380" t="s">
        <v>172</v>
      </c>
      <c r="F1" s="379"/>
      <c r="G1" s="378" t="s">
        <v>89</v>
      </c>
    </row>
    <row r="2" spans="1:7" s="31" customFormat="1" ht="62.25" customHeight="1" x14ac:dyDescent="0.2">
      <c r="B2" s="389"/>
      <c r="C2" s="298" t="s">
        <v>189</v>
      </c>
      <c r="D2" s="448" t="s">
        <v>169</v>
      </c>
      <c r="E2" s="448"/>
      <c r="F2" s="145"/>
    </row>
    <row r="3" spans="1:7" ht="54" customHeight="1" x14ac:dyDescent="0.2">
      <c r="B3" s="389"/>
      <c r="C3" s="390" t="s">
        <v>190</v>
      </c>
      <c r="D3" s="445" t="s">
        <v>192</v>
      </c>
      <c r="E3" s="445"/>
      <c r="F3" s="445"/>
      <c r="G3" s="445"/>
    </row>
    <row r="4" spans="1:7" s="38" customFormat="1" ht="50.25" customHeight="1" x14ac:dyDescent="0.2">
      <c r="B4" s="146" t="s">
        <v>173</v>
      </c>
      <c r="C4" s="146" t="s">
        <v>178</v>
      </c>
      <c r="D4" s="146" t="s">
        <v>179</v>
      </c>
      <c r="E4" s="146" t="s">
        <v>180</v>
      </c>
      <c r="F4" s="146" t="s">
        <v>103</v>
      </c>
      <c r="G4" s="147" t="s">
        <v>181</v>
      </c>
    </row>
    <row r="5" spans="1:7" s="38" customFormat="1" ht="39.75" customHeight="1" x14ac:dyDescent="0.2">
      <c r="A5" s="449" t="s">
        <v>90</v>
      </c>
      <c r="B5" s="279" t="s">
        <v>174</v>
      </c>
      <c r="C5" s="279" t="s">
        <v>176</v>
      </c>
      <c r="D5" s="279" t="s">
        <v>182</v>
      </c>
      <c r="E5" s="279" t="s">
        <v>184</v>
      </c>
      <c r="F5" s="299">
        <v>2006</v>
      </c>
      <c r="G5" s="300">
        <v>375000</v>
      </c>
    </row>
    <row r="6" spans="1:7" s="38" customFormat="1" ht="38.25" customHeight="1" thickBot="1" x14ac:dyDescent="0.25">
      <c r="A6" s="449"/>
      <c r="B6" s="280" t="s">
        <v>175</v>
      </c>
      <c r="C6" s="280" t="s">
        <v>177</v>
      </c>
      <c r="D6" s="280" t="s">
        <v>183</v>
      </c>
      <c r="E6" s="279" t="s">
        <v>185</v>
      </c>
      <c r="F6" s="301">
        <v>998</v>
      </c>
      <c r="G6" s="300">
        <v>8300</v>
      </c>
    </row>
    <row r="7" spans="1:7" s="38" customFormat="1" ht="76.5" hidden="1" x14ac:dyDescent="0.2">
      <c r="A7" s="38" t="s">
        <v>127</v>
      </c>
      <c r="B7" s="275" t="s">
        <v>38</v>
      </c>
      <c r="C7" s="249" t="s">
        <v>44</v>
      </c>
      <c r="D7" s="249" t="s">
        <v>186</v>
      </c>
      <c r="E7" s="249" t="s">
        <v>187</v>
      </c>
      <c r="F7" s="249" t="s">
        <v>188</v>
      </c>
      <c r="G7" s="278" t="s">
        <v>49</v>
      </c>
    </row>
    <row r="8" spans="1:7" s="38" customFormat="1" x14ac:dyDescent="0.2">
      <c r="B8" s="164" t="s">
        <v>127</v>
      </c>
      <c r="C8" s="164"/>
      <c r="D8" s="164"/>
      <c r="E8" s="164"/>
      <c r="F8" s="164"/>
      <c r="G8" s="165"/>
    </row>
    <row r="9" spans="1:7" s="38" customFormat="1" x14ac:dyDescent="0.2">
      <c r="B9" s="164" t="s">
        <v>127</v>
      </c>
      <c r="C9" s="164"/>
      <c r="D9" s="164"/>
      <c r="E9" s="164"/>
      <c r="F9" s="164"/>
      <c r="G9" s="165"/>
    </row>
    <row r="10" spans="1:7" s="38" customFormat="1" x14ac:dyDescent="0.2">
      <c r="B10" s="164" t="s">
        <v>127</v>
      </c>
      <c r="C10" s="164"/>
      <c r="D10" s="164"/>
      <c r="E10" s="164"/>
      <c r="F10" s="164"/>
      <c r="G10" s="165"/>
    </row>
    <row r="11" spans="1:7" s="38" customFormat="1" x14ac:dyDescent="0.2">
      <c r="B11" s="164" t="s">
        <v>127</v>
      </c>
      <c r="C11" s="164"/>
      <c r="D11" s="164"/>
      <c r="E11" s="164"/>
      <c r="F11" s="164"/>
      <c r="G11" s="165"/>
    </row>
    <row r="12" spans="1:7" s="38" customFormat="1" x14ac:dyDescent="0.2">
      <c r="B12" s="164" t="s">
        <v>127</v>
      </c>
      <c r="C12" s="164"/>
      <c r="D12" s="164"/>
      <c r="E12" s="164"/>
      <c r="F12" s="164"/>
      <c r="G12" s="165"/>
    </row>
    <row r="13" spans="1:7" s="38" customFormat="1" x14ac:dyDescent="0.2">
      <c r="B13" s="164" t="s">
        <v>127</v>
      </c>
      <c r="C13" s="164"/>
      <c r="D13" s="164"/>
      <c r="E13" s="164"/>
      <c r="F13" s="164"/>
      <c r="G13" s="165"/>
    </row>
    <row r="14" spans="1:7" s="38" customFormat="1" x14ac:dyDescent="0.2">
      <c r="B14" s="164" t="s">
        <v>127</v>
      </c>
      <c r="C14" s="164"/>
      <c r="D14" s="164"/>
      <c r="E14" s="164"/>
      <c r="F14" s="164"/>
      <c r="G14" s="165"/>
    </row>
    <row r="15" spans="1:7" s="38" customFormat="1" x14ac:dyDescent="0.2">
      <c r="B15" s="164" t="s">
        <v>127</v>
      </c>
      <c r="C15" s="164"/>
      <c r="D15" s="164"/>
      <c r="E15" s="164"/>
      <c r="F15" s="164"/>
      <c r="G15" s="165"/>
    </row>
    <row r="16" spans="1:7" s="38" customFormat="1" x14ac:dyDescent="0.2">
      <c r="B16" s="164" t="s">
        <v>127</v>
      </c>
      <c r="C16" s="164"/>
      <c r="D16" s="164"/>
      <c r="E16" s="164"/>
      <c r="F16" s="164"/>
      <c r="G16" s="165"/>
    </row>
    <row r="17" spans="2:7" s="38" customFormat="1" x14ac:dyDescent="0.2">
      <c r="B17" s="164" t="s">
        <v>127</v>
      </c>
      <c r="C17" s="164"/>
      <c r="D17" s="164"/>
      <c r="E17" s="164"/>
      <c r="F17" s="164"/>
      <c r="G17" s="165"/>
    </row>
    <row r="18" spans="2:7" s="38" customFormat="1" x14ac:dyDescent="0.2">
      <c r="B18" s="164" t="s">
        <v>127</v>
      </c>
      <c r="C18" s="164"/>
      <c r="D18" s="164"/>
      <c r="E18" s="164"/>
      <c r="F18" s="164"/>
      <c r="G18" s="165"/>
    </row>
    <row r="19" spans="2:7" s="38" customFormat="1" x14ac:dyDescent="0.2">
      <c r="B19" s="164" t="s">
        <v>127</v>
      </c>
      <c r="C19" s="164"/>
      <c r="D19" s="164"/>
      <c r="E19" s="164"/>
      <c r="F19" s="164"/>
      <c r="G19" s="165"/>
    </row>
    <row r="20" spans="2:7" s="38" customFormat="1" x14ac:dyDescent="0.2">
      <c r="B20" s="164" t="s">
        <v>127</v>
      </c>
      <c r="C20" s="164"/>
      <c r="D20" s="164"/>
      <c r="E20" s="164"/>
      <c r="F20" s="164"/>
      <c r="G20" s="165"/>
    </row>
    <row r="21" spans="2:7" s="38" customFormat="1" x14ac:dyDescent="0.2">
      <c r="B21" s="164" t="s">
        <v>127</v>
      </c>
      <c r="C21" s="164"/>
      <c r="D21" s="164"/>
      <c r="E21" s="164"/>
      <c r="F21" s="164"/>
      <c r="G21" s="165"/>
    </row>
    <row r="22" spans="2:7" s="38" customFormat="1" x14ac:dyDescent="0.2">
      <c r="B22" s="164" t="s">
        <v>127</v>
      </c>
      <c r="C22" s="164"/>
      <c r="D22" s="164"/>
      <c r="E22" s="164"/>
      <c r="F22" s="164"/>
      <c r="G22" s="165"/>
    </row>
    <row r="23" spans="2:7" s="38" customFormat="1" x14ac:dyDescent="0.2">
      <c r="B23" s="164" t="s">
        <v>127</v>
      </c>
      <c r="C23" s="164"/>
      <c r="D23" s="164"/>
      <c r="E23" s="164"/>
      <c r="F23" s="164"/>
      <c r="G23" s="165"/>
    </row>
    <row r="24" spans="2:7" s="38" customFormat="1" x14ac:dyDescent="0.2">
      <c r="B24" s="164" t="s">
        <v>127</v>
      </c>
      <c r="C24" s="164"/>
      <c r="D24" s="164"/>
      <c r="E24" s="164"/>
      <c r="F24" s="164"/>
      <c r="G24" s="165"/>
    </row>
    <row r="25" spans="2:7" s="38" customFormat="1" x14ac:dyDescent="0.2">
      <c r="B25" s="164" t="s">
        <v>127</v>
      </c>
      <c r="C25" s="164"/>
      <c r="D25" s="164"/>
      <c r="E25" s="164"/>
      <c r="F25" s="164"/>
      <c r="G25" s="165"/>
    </row>
    <row r="26" spans="2:7" s="38" customFormat="1" x14ac:dyDescent="0.2">
      <c r="B26" s="164" t="s">
        <v>127</v>
      </c>
      <c r="C26" s="164"/>
      <c r="D26" s="164"/>
      <c r="E26" s="164"/>
      <c r="F26" s="164"/>
      <c r="G26" s="165"/>
    </row>
    <row r="27" spans="2:7" s="38" customFormat="1" x14ac:dyDescent="0.2">
      <c r="B27" s="164" t="s">
        <v>127</v>
      </c>
      <c r="C27" s="164"/>
      <c r="D27" s="164"/>
      <c r="E27" s="164"/>
      <c r="F27" s="164"/>
      <c r="G27" s="165"/>
    </row>
    <row r="28" spans="2:7" s="38" customFormat="1" x14ac:dyDescent="0.2">
      <c r="B28" s="164" t="s">
        <v>127</v>
      </c>
      <c r="C28" s="164"/>
      <c r="D28" s="164"/>
      <c r="E28" s="164"/>
      <c r="F28" s="164"/>
      <c r="G28" s="165"/>
    </row>
    <row r="29" spans="2:7" s="38" customFormat="1" x14ac:dyDescent="0.2">
      <c r="B29" s="164" t="s">
        <v>127</v>
      </c>
      <c r="C29" s="164"/>
      <c r="D29" s="164"/>
      <c r="E29" s="164"/>
      <c r="F29" s="164"/>
      <c r="G29" s="165"/>
    </row>
    <row r="30" spans="2:7" s="38" customFormat="1" x14ac:dyDescent="0.2">
      <c r="B30" s="164" t="s">
        <v>127</v>
      </c>
      <c r="C30" s="164"/>
      <c r="D30" s="164"/>
      <c r="E30" s="164"/>
      <c r="F30" s="164"/>
      <c r="G30" s="165"/>
    </row>
    <row r="31" spans="2:7" s="38" customFormat="1" x14ac:dyDescent="0.2">
      <c r="B31" s="164" t="s">
        <v>127</v>
      </c>
      <c r="C31" s="164"/>
      <c r="D31" s="164"/>
      <c r="E31" s="164"/>
      <c r="F31" s="164"/>
      <c r="G31" s="165"/>
    </row>
    <row r="32" spans="2:7" s="38" customFormat="1" x14ac:dyDescent="0.2">
      <c r="B32" s="164" t="s">
        <v>127</v>
      </c>
      <c r="C32" s="164"/>
      <c r="D32" s="164"/>
      <c r="E32" s="164"/>
      <c r="F32" s="164"/>
      <c r="G32" s="165"/>
    </row>
    <row r="33" spans="6:7" ht="15.75" thickBot="1" x14ac:dyDescent="0.25">
      <c r="F33" s="276" t="s">
        <v>39</v>
      </c>
      <c r="G33" s="277">
        <f>SUM(EstCost[CostEst])</f>
        <v>0</v>
      </c>
    </row>
    <row r="34" spans="6:7" ht="13.5" thickTop="1" x14ac:dyDescent="0.2"/>
  </sheetData>
  <sheetProtection selectLockedCells="1"/>
  <mergeCells count="3">
    <mergeCell ref="D2:E2"/>
    <mergeCell ref="A5:A6"/>
    <mergeCell ref="D3:G3"/>
  </mergeCells>
  <conditionalFormatting sqref="F8">
    <cfRule type="expression" dxfId="14" priority="3" stopIfTrue="1">
      <formula>$G8=0</formula>
    </cfRule>
    <cfRule type="expression" dxfId="13" priority="4">
      <formula>$F8=0</formula>
    </cfRule>
  </conditionalFormatting>
  <conditionalFormatting sqref="F9:F32">
    <cfRule type="expression" dxfId="12" priority="1" stopIfTrue="1">
      <formula>$G9=0</formula>
    </cfRule>
    <cfRule type="expression" dxfId="11" priority="2">
      <formula>$F9=0</formula>
    </cfRule>
  </conditionalFormatting>
  <dataValidations count="1">
    <dataValidation type="list" allowBlank="1" showInputMessage="1" showErrorMessage="1" sqref="B8:B32">
      <formula1>"Sélectionner, Fonctionnement, Immobilisations"</formula1>
    </dataValidation>
  </dataValidations>
  <pageMargins left="0.25" right="0.25" top="0.90648148148148144" bottom="0.75" header="0.3" footer="0.3"/>
  <pageSetup paperSize="5" scale="76" orientation="landscape" r:id="rId1"/>
  <headerFooter>
    <oddHeader>&amp;L&amp;G&amp;C&amp;"Arial,Bold"&amp;18&amp;K000000 Future Estimated Costs&amp;R&amp;"Arial,Bold"Municipal Disaster Recovery Assistance Program</oddHeader>
    <oddFooter>&amp;RPage &amp;P of &amp;N</oddFooter>
  </headerFooter>
  <drawing r:id="rId2"/>
  <legacyDrawingHF r:id="rId3"/>
  <tableParts count="1">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F0"/>
    <pageSetUpPr fitToPage="1"/>
  </sheetPr>
  <dimension ref="B1:G31"/>
  <sheetViews>
    <sheetView showGridLines="0" view="pageLayout" zoomScale="90" zoomScaleNormal="100" zoomScalePageLayoutView="90" workbookViewId="0">
      <selection activeCell="D17" sqref="D17"/>
    </sheetView>
  </sheetViews>
  <sheetFormatPr defaultRowHeight="12.75" x14ac:dyDescent="0.2"/>
  <cols>
    <col min="1" max="1" width="2.625" style="67" customWidth="1"/>
    <col min="2" max="2" width="16.375" style="67" customWidth="1"/>
    <col min="3" max="3" width="16" style="67" customWidth="1"/>
    <col min="4" max="4" width="66.375" style="67" customWidth="1"/>
    <col min="5" max="5" width="29.25" style="67" customWidth="1"/>
    <col min="6" max="8" width="10.625" style="67" customWidth="1"/>
    <col min="9" max="251" width="8" style="67"/>
    <col min="252" max="252" width="1" style="67" customWidth="1"/>
    <col min="253" max="253" width="16.25" style="67" customWidth="1"/>
    <col min="254" max="254" width="18.625" style="67" customWidth="1"/>
    <col min="255" max="255" width="6" style="67" customWidth="1"/>
    <col min="256" max="256" width="15.875" style="67" customWidth="1"/>
    <col min="257" max="257" width="10.375" style="67" customWidth="1"/>
    <col min="258" max="258" width="32.125" style="67" customWidth="1"/>
    <col min="259" max="259" width="13.625" style="67" customWidth="1"/>
    <col min="260" max="260" width="7.125" style="67" customWidth="1"/>
    <col min="261" max="261" width="4.375" style="67" customWidth="1"/>
    <col min="262" max="264" width="9.375" style="67" customWidth="1"/>
    <col min="265" max="507" width="8" style="67"/>
    <col min="508" max="508" width="1" style="67" customWidth="1"/>
    <col min="509" max="509" width="16.25" style="67" customWidth="1"/>
    <col min="510" max="510" width="18.625" style="67" customWidth="1"/>
    <col min="511" max="511" width="6" style="67" customWidth="1"/>
    <col min="512" max="512" width="15.875" style="67" customWidth="1"/>
    <col min="513" max="513" width="10.375" style="67" customWidth="1"/>
    <col min="514" max="514" width="32.125" style="67" customWidth="1"/>
    <col min="515" max="515" width="13.625" style="67" customWidth="1"/>
    <col min="516" max="516" width="7.125" style="67" customWidth="1"/>
    <col min="517" max="517" width="4.375" style="67" customWidth="1"/>
    <col min="518" max="520" width="9.375" style="67" customWidth="1"/>
    <col min="521" max="763" width="8" style="67"/>
    <col min="764" max="764" width="1" style="67" customWidth="1"/>
    <col min="765" max="765" width="16.25" style="67" customWidth="1"/>
    <col min="766" max="766" width="18.625" style="67" customWidth="1"/>
    <col min="767" max="767" width="6" style="67" customWidth="1"/>
    <col min="768" max="768" width="15.875" style="67" customWidth="1"/>
    <col min="769" max="769" width="10.375" style="67" customWidth="1"/>
    <col min="770" max="770" width="32.125" style="67" customWidth="1"/>
    <col min="771" max="771" width="13.625" style="67" customWidth="1"/>
    <col min="772" max="772" width="7.125" style="67" customWidth="1"/>
    <col min="773" max="773" width="4.375" style="67" customWidth="1"/>
    <col min="774" max="776" width="9.375" style="67" customWidth="1"/>
    <col min="777" max="1019" width="8" style="67"/>
    <col min="1020" max="1020" width="1" style="67" customWidth="1"/>
    <col min="1021" max="1021" width="16.25" style="67" customWidth="1"/>
    <col min="1022" max="1022" width="18.625" style="67" customWidth="1"/>
    <col min="1023" max="1023" width="6" style="67" customWidth="1"/>
    <col min="1024" max="1024" width="15.875" style="67" customWidth="1"/>
    <col min="1025" max="1025" width="10.375" style="67" customWidth="1"/>
    <col min="1026" max="1026" width="32.125" style="67" customWidth="1"/>
    <col min="1027" max="1027" width="13.625" style="67" customWidth="1"/>
    <col min="1028" max="1028" width="7.125" style="67" customWidth="1"/>
    <col min="1029" max="1029" width="4.375" style="67" customWidth="1"/>
    <col min="1030" max="1032" width="9.375" style="67" customWidth="1"/>
    <col min="1033" max="1275" width="8" style="67"/>
    <col min="1276" max="1276" width="1" style="67" customWidth="1"/>
    <col min="1277" max="1277" width="16.25" style="67" customWidth="1"/>
    <col min="1278" max="1278" width="18.625" style="67" customWidth="1"/>
    <col min="1279" max="1279" width="6" style="67" customWidth="1"/>
    <col min="1280" max="1280" width="15.875" style="67" customWidth="1"/>
    <col min="1281" max="1281" width="10.375" style="67" customWidth="1"/>
    <col min="1282" max="1282" width="32.125" style="67" customWidth="1"/>
    <col min="1283" max="1283" width="13.625" style="67" customWidth="1"/>
    <col min="1284" max="1284" width="7.125" style="67" customWidth="1"/>
    <col min="1285" max="1285" width="4.375" style="67" customWidth="1"/>
    <col min="1286" max="1288" width="9.375" style="67" customWidth="1"/>
    <col min="1289" max="1531" width="8" style="67"/>
    <col min="1532" max="1532" width="1" style="67" customWidth="1"/>
    <col min="1533" max="1533" width="16.25" style="67" customWidth="1"/>
    <col min="1534" max="1534" width="18.625" style="67" customWidth="1"/>
    <col min="1535" max="1535" width="6" style="67" customWidth="1"/>
    <col min="1536" max="1536" width="15.875" style="67" customWidth="1"/>
    <col min="1537" max="1537" width="10.375" style="67" customWidth="1"/>
    <col min="1538" max="1538" width="32.125" style="67" customWidth="1"/>
    <col min="1539" max="1539" width="13.625" style="67" customWidth="1"/>
    <col min="1540" max="1540" width="7.125" style="67" customWidth="1"/>
    <col min="1541" max="1541" width="4.375" style="67" customWidth="1"/>
    <col min="1542" max="1544" width="9.375" style="67" customWidth="1"/>
    <col min="1545" max="1787" width="8" style="67"/>
    <col min="1788" max="1788" width="1" style="67" customWidth="1"/>
    <col min="1789" max="1789" width="16.25" style="67" customWidth="1"/>
    <col min="1790" max="1790" width="18.625" style="67" customWidth="1"/>
    <col min="1791" max="1791" width="6" style="67" customWidth="1"/>
    <col min="1792" max="1792" width="15.875" style="67" customWidth="1"/>
    <col min="1793" max="1793" width="10.375" style="67" customWidth="1"/>
    <col min="1794" max="1794" width="32.125" style="67" customWidth="1"/>
    <col min="1795" max="1795" width="13.625" style="67" customWidth="1"/>
    <col min="1796" max="1796" width="7.125" style="67" customWidth="1"/>
    <col min="1797" max="1797" width="4.375" style="67" customWidth="1"/>
    <col min="1798" max="1800" width="9.375" style="67" customWidth="1"/>
    <col min="1801" max="2043" width="8" style="67"/>
    <col min="2044" max="2044" width="1" style="67" customWidth="1"/>
    <col min="2045" max="2045" width="16.25" style="67" customWidth="1"/>
    <col min="2046" max="2046" width="18.625" style="67" customWidth="1"/>
    <col min="2047" max="2047" width="6" style="67" customWidth="1"/>
    <col min="2048" max="2048" width="15.875" style="67" customWidth="1"/>
    <col min="2049" max="2049" width="10.375" style="67" customWidth="1"/>
    <col min="2050" max="2050" width="32.125" style="67" customWidth="1"/>
    <col min="2051" max="2051" width="13.625" style="67" customWidth="1"/>
    <col min="2052" max="2052" width="7.125" style="67" customWidth="1"/>
    <col min="2053" max="2053" width="4.375" style="67" customWidth="1"/>
    <col min="2054" max="2056" width="9.375" style="67" customWidth="1"/>
    <col min="2057" max="2299" width="8" style="67"/>
    <col min="2300" max="2300" width="1" style="67" customWidth="1"/>
    <col min="2301" max="2301" width="16.25" style="67" customWidth="1"/>
    <col min="2302" max="2302" width="18.625" style="67" customWidth="1"/>
    <col min="2303" max="2303" width="6" style="67" customWidth="1"/>
    <col min="2304" max="2304" width="15.875" style="67" customWidth="1"/>
    <col min="2305" max="2305" width="10.375" style="67" customWidth="1"/>
    <col min="2306" max="2306" width="32.125" style="67" customWidth="1"/>
    <col min="2307" max="2307" width="13.625" style="67" customWidth="1"/>
    <col min="2308" max="2308" width="7.125" style="67" customWidth="1"/>
    <col min="2309" max="2309" width="4.375" style="67" customWidth="1"/>
    <col min="2310" max="2312" width="9.375" style="67" customWidth="1"/>
    <col min="2313" max="2555" width="8" style="67"/>
    <col min="2556" max="2556" width="1" style="67" customWidth="1"/>
    <col min="2557" max="2557" width="16.25" style="67" customWidth="1"/>
    <col min="2558" max="2558" width="18.625" style="67" customWidth="1"/>
    <col min="2559" max="2559" width="6" style="67" customWidth="1"/>
    <col min="2560" max="2560" width="15.875" style="67" customWidth="1"/>
    <col min="2561" max="2561" width="10.375" style="67" customWidth="1"/>
    <col min="2562" max="2562" width="32.125" style="67" customWidth="1"/>
    <col min="2563" max="2563" width="13.625" style="67" customWidth="1"/>
    <col min="2564" max="2564" width="7.125" style="67" customWidth="1"/>
    <col min="2565" max="2565" width="4.375" style="67" customWidth="1"/>
    <col min="2566" max="2568" width="9.375" style="67" customWidth="1"/>
    <col min="2569" max="2811" width="8" style="67"/>
    <col min="2812" max="2812" width="1" style="67" customWidth="1"/>
    <col min="2813" max="2813" width="16.25" style="67" customWidth="1"/>
    <col min="2814" max="2814" width="18.625" style="67" customWidth="1"/>
    <col min="2815" max="2815" width="6" style="67" customWidth="1"/>
    <col min="2816" max="2816" width="15.875" style="67" customWidth="1"/>
    <col min="2817" max="2817" width="10.375" style="67" customWidth="1"/>
    <col min="2818" max="2818" width="32.125" style="67" customWidth="1"/>
    <col min="2819" max="2819" width="13.625" style="67" customWidth="1"/>
    <col min="2820" max="2820" width="7.125" style="67" customWidth="1"/>
    <col min="2821" max="2821" width="4.375" style="67" customWidth="1"/>
    <col min="2822" max="2824" width="9.375" style="67" customWidth="1"/>
    <col min="2825" max="3067" width="8" style="67"/>
    <col min="3068" max="3068" width="1" style="67" customWidth="1"/>
    <col min="3069" max="3069" width="16.25" style="67" customWidth="1"/>
    <col min="3070" max="3070" width="18.625" style="67" customWidth="1"/>
    <col min="3071" max="3071" width="6" style="67" customWidth="1"/>
    <col min="3072" max="3072" width="15.875" style="67" customWidth="1"/>
    <col min="3073" max="3073" width="10.375" style="67" customWidth="1"/>
    <col min="3074" max="3074" width="32.125" style="67" customWidth="1"/>
    <col min="3075" max="3075" width="13.625" style="67" customWidth="1"/>
    <col min="3076" max="3076" width="7.125" style="67" customWidth="1"/>
    <col min="3077" max="3077" width="4.375" style="67" customWidth="1"/>
    <col min="3078" max="3080" width="9.375" style="67" customWidth="1"/>
    <col min="3081" max="3323" width="8" style="67"/>
    <col min="3324" max="3324" width="1" style="67" customWidth="1"/>
    <col min="3325" max="3325" width="16.25" style="67" customWidth="1"/>
    <col min="3326" max="3326" width="18.625" style="67" customWidth="1"/>
    <col min="3327" max="3327" width="6" style="67" customWidth="1"/>
    <col min="3328" max="3328" width="15.875" style="67" customWidth="1"/>
    <col min="3329" max="3329" width="10.375" style="67" customWidth="1"/>
    <col min="3330" max="3330" width="32.125" style="67" customWidth="1"/>
    <col min="3331" max="3331" width="13.625" style="67" customWidth="1"/>
    <col min="3332" max="3332" width="7.125" style="67" customWidth="1"/>
    <col min="3333" max="3333" width="4.375" style="67" customWidth="1"/>
    <col min="3334" max="3336" width="9.375" style="67" customWidth="1"/>
    <col min="3337" max="3579" width="8" style="67"/>
    <col min="3580" max="3580" width="1" style="67" customWidth="1"/>
    <col min="3581" max="3581" width="16.25" style="67" customWidth="1"/>
    <col min="3582" max="3582" width="18.625" style="67" customWidth="1"/>
    <col min="3583" max="3583" width="6" style="67" customWidth="1"/>
    <col min="3584" max="3584" width="15.875" style="67" customWidth="1"/>
    <col min="3585" max="3585" width="10.375" style="67" customWidth="1"/>
    <col min="3586" max="3586" width="32.125" style="67" customWidth="1"/>
    <col min="3587" max="3587" width="13.625" style="67" customWidth="1"/>
    <col min="3588" max="3588" width="7.125" style="67" customWidth="1"/>
    <col min="3589" max="3589" width="4.375" style="67" customWidth="1"/>
    <col min="3590" max="3592" width="9.375" style="67" customWidth="1"/>
    <col min="3593" max="3835" width="8" style="67"/>
    <col min="3836" max="3836" width="1" style="67" customWidth="1"/>
    <col min="3837" max="3837" width="16.25" style="67" customWidth="1"/>
    <col min="3838" max="3838" width="18.625" style="67" customWidth="1"/>
    <col min="3839" max="3839" width="6" style="67" customWidth="1"/>
    <col min="3840" max="3840" width="15.875" style="67" customWidth="1"/>
    <col min="3841" max="3841" width="10.375" style="67" customWidth="1"/>
    <col min="3842" max="3842" width="32.125" style="67" customWidth="1"/>
    <col min="3843" max="3843" width="13.625" style="67" customWidth="1"/>
    <col min="3844" max="3844" width="7.125" style="67" customWidth="1"/>
    <col min="3845" max="3845" width="4.375" style="67" customWidth="1"/>
    <col min="3846" max="3848" width="9.375" style="67" customWidth="1"/>
    <col min="3849" max="4091" width="8" style="67"/>
    <col min="4092" max="4092" width="1" style="67" customWidth="1"/>
    <col min="4093" max="4093" width="16.25" style="67" customWidth="1"/>
    <col min="4094" max="4094" width="18.625" style="67" customWidth="1"/>
    <col min="4095" max="4095" width="6" style="67" customWidth="1"/>
    <col min="4096" max="4096" width="15.875" style="67" customWidth="1"/>
    <col min="4097" max="4097" width="10.375" style="67" customWidth="1"/>
    <col min="4098" max="4098" width="32.125" style="67" customWidth="1"/>
    <col min="4099" max="4099" width="13.625" style="67" customWidth="1"/>
    <col min="4100" max="4100" width="7.125" style="67" customWidth="1"/>
    <col min="4101" max="4101" width="4.375" style="67" customWidth="1"/>
    <col min="4102" max="4104" width="9.375" style="67" customWidth="1"/>
    <col min="4105" max="4347" width="8" style="67"/>
    <col min="4348" max="4348" width="1" style="67" customWidth="1"/>
    <col min="4349" max="4349" width="16.25" style="67" customWidth="1"/>
    <col min="4350" max="4350" width="18.625" style="67" customWidth="1"/>
    <col min="4351" max="4351" width="6" style="67" customWidth="1"/>
    <col min="4352" max="4352" width="15.875" style="67" customWidth="1"/>
    <col min="4353" max="4353" width="10.375" style="67" customWidth="1"/>
    <col min="4354" max="4354" width="32.125" style="67" customWidth="1"/>
    <col min="4355" max="4355" width="13.625" style="67" customWidth="1"/>
    <col min="4356" max="4356" width="7.125" style="67" customWidth="1"/>
    <col min="4357" max="4357" width="4.375" style="67" customWidth="1"/>
    <col min="4358" max="4360" width="9.375" style="67" customWidth="1"/>
    <col min="4361" max="4603" width="8" style="67"/>
    <col min="4604" max="4604" width="1" style="67" customWidth="1"/>
    <col min="4605" max="4605" width="16.25" style="67" customWidth="1"/>
    <col min="4606" max="4606" width="18.625" style="67" customWidth="1"/>
    <col min="4607" max="4607" width="6" style="67" customWidth="1"/>
    <col min="4608" max="4608" width="15.875" style="67" customWidth="1"/>
    <col min="4609" max="4609" width="10.375" style="67" customWidth="1"/>
    <col min="4610" max="4610" width="32.125" style="67" customWidth="1"/>
    <col min="4611" max="4611" width="13.625" style="67" customWidth="1"/>
    <col min="4612" max="4612" width="7.125" style="67" customWidth="1"/>
    <col min="4613" max="4613" width="4.375" style="67" customWidth="1"/>
    <col min="4614" max="4616" width="9.375" style="67" customWidth="1"/>
    <col min="4617" max="4859" width="8" style="67"/>
    <col min="4860" max="4860" width="1" style="67" customWidth="1"/>
    <col min="4861" max="4861" width="16.25" style="67" customWidth="1"/>
    <col min="4862" max="4862" width="18.625" style="67" customWidth="1"/>
    <col min="4863" max="4863" width="6" style="67" customWidth="1"/>
    <col min="4864" max="4864" width="15.875" style="67" customWidth="1"/>
    <col min="4865" max="4865" width="10.375" style="67" customWidth="1"/>
    <col min="4866" max="4866" width="32.125" style="67" customWidth="1"/>
    <col min="4867" max="4867" width="13.625" style="67" customWidth="1"/>
    <col min="4868" max="4868" width="7.125" style="67" customWidth="1"/>
    <col min="4869" max="4869" width="4.375" style="67" customWidth="1"/>
    <col min="4870" max="4872" width="9.375" style="67" customWidth="1"/>
    <col min="4873" max="5115" width="8" style="67"/>
    <col min="5116" max="5116" width="1" style="67" customWidth="1"/>
    <col min="5117" max="5117" width="16.25" style="67" customWidth="1"/>
    <col min="5118" max="5118" width="18.625" style="67" customWidth="1"/>
    <col min="5119" max="5119" width="6" style="67" customWidth="1"/>
    <col min="5120" max="5120" width="15.875" style="67" customWidth="1"/>
    <col min="5121" max="5121" width="10.375" style="67" customWidth="1"/>
    <col min="5122" max="5122" width="32.125" style="67" customWidth="1"/>
    <col min="5123" max="5123" width="13.625" style="67" customWidth="1"/>
    <col min="5124" max="5124" width="7.125" style="67" customWidth="1"/>
    <col min="5125" max="5125" width="4.375" style="67" customWidth="1"/>
    <col min="5126" max="5128" width="9.375" style="67" customWidth="1"/>
    <col min="5129" max="5371" width="8" style="67"/>
    <col min="5372" max="5372" width="1" style="67" customWidth="1"/>
    <col min="5373" max="5373" width="16.25" style="67" customWidth="1"/>
    <col min="5374" max="5374" width="18.625" style="67" customWidth="1"/>
    <col min="5375" max="5375" width="6" style="67" customWidth="1"/>
    <col min="5376" max="5376" width="15.875" style="67" customWidth="1"/>
    <col min="5377" max="5377" width="10.375" style="67" customWidth="1"/>
    <col min="5378" max="5378" width="32.125" style="67" customWidth="1"/>
    <col min="5379" max="5379" width="13.625" style="67" customWidth="1"/>
    <col min="5380" max="5380" width="7.125" style="67" customWidth="1"/>
    <col min="5381" max="5381" width="4.375" style="67" customWidth="1"/>
    <col min="5382" max="5384" width="9.375" style="67" customWidth="1"/>
    <col min="5385" max="5627" width="8" style="67"/>
    <col min="5628" max="5628" width="1" style="67" customWidth="1"/>
    <col min="5629" max="5629" width="16.25" style="67" customWidth="1"/>
    <col min="5630" max="5630" width="18.625" style="67" customWidth="1"/>
    <col min="5631" max="5631" width="6" style="67" customWidth="1"/>
    <col min="5632" max="5632" width="15.875" style="67" customWidth="1"/>
    <col min="5633" max="5633" width="10.375" style="67" customWidth="1"/>
    <col min="5634" max="5634" width="32.125" style="67" customWidth="1"/>
    <col min="5635" max="5635" width="13.625" style="67" customWidth="1"/>
    <col min="5636" max="5636" width="7.125" style="67" customWidth="1"/>
    <col min="5637" max="5637" width="4.375" style="67" customWidth="1"/>
    <col min="5638" max="5640" width="9.375" style="67" customWidth="1"/>
    <col min="5641" max="5883" width="8" style="67"/>
    <col min="5884" max="5884" width="1" style="67" customWidth="1"/>
    <col min="5885" max="5885" width="16.25" style="67" customWidth="1"/>
    <col min="5886" max="5886" width="18.625" style="67" customWidth="1"/>
    <col min="5887" max="5887" width="6" style="67" customWidth="1"/>
    <col min="5888" max="5888" width="15.875" style="67" customWidth="1"/>
    <col min="5889" max="5889" width="10.375" style="67" customWidth="1"/>
    <col min="5890" max="5890" width="32.125" style="67" customWidth="1"/>
    <col min="5891" max="5891" width="13.625" style="67" customWidth="1"/>
    <col min="5892" max="5892" width="7.125" style="67" customWidth="1"/>
    <col min="5893" max="5893" width="4.375" style="67" customWidth="1"/>
    <col min="5894" max="5896" width="9.375" style="67" customWidth="1"/>
    <col min="5897" max="6139" width="8" style="67"/>
    <col min="6140" max="6140" width="1" style="67" customWidth="1"/>
    <col min="6141" max="6141" width="16.25" style="67" customWidth="1"/>
    <col min="6142" max="6142" width="18.625" style="67" customWidth="1"/>
    <col min="6143" max="6143" width="6" style="67" customWidth="1"/>
    <col min="6144" max="6144" width="15.875" style="67" customWidth="1"/>
    <col min="6145" max="6145" width="10.375" style="67" customWidth="1"/>
    <col min="6146" max="6146" width="32.125" style="67" customWidth="1"/>
    <col min="6147" max="6147" width="13.625" style="67" customWidth="1"/>
    <col min="6148" max="6148" width="7.125" style="67" customWidth="1"/>
    <col min="6149" max="6149" width="4.375" style="67" customWidth="1"/>
    <col min="6150" max="6152" width="9.375" style="67" customWidth="1"/>
    <col min="6153" max="6395" width="8" style="67"/>
    <col min="6396" max="6396" width="1" style="67" customWidth="1"/>
    <col min="6397" max="6397" width="16.25" style="67" customWidth="1"/>
    <col min="6398" max="6398" width="18.625" style="67" customWidth="1"/>
    <col min="6399" max="6399" width="6" style="67" customWidth="1"/>
    <col min="6400" max="6400" width="15.875" style="67" customWidth="1"/>
    <col min="6401" max="6401" width="10.375" style="67" customWidth="1"/>
    <col min="6402" max="6402" width="32.125" style="67" customWidth="1"/>
    <col min="6403" max="6403" width="13.625" style="67" customWidth="1"/>
    <col min="6404" max="6404" width="7.125" style="67" customWidth="1"/>
    <col min="6405" max="6405" width="4.375" style="67" customWidth="1"/>
    <col min="6406" max="6408" width="9.375" style="67" customWidth="1"/>
    <col min="6409" max="6651" width="8" style="67"/>
    <col min="6652" max="6652" width="1" style="67" customWidth="1"/>
    <col min="6653" max="6653" width="16.25" style="67" customWidth="1"/>
    <col min="6654" max="6654" width="18.625" style="67" customWidth="1"/>
    <col min="6655" max="6655" width="6" style="67" customWidth="1"/>
    <col min="6656" max="6656" width="15.875" style="67" customWidth="1"/>
    <col min="6657" max="6657" width="10.375" style="67" customWidth="1"/>
    <col min="6658" max="6658" width="32.125" style="67" customWidth="1"/>
    <col min="6659" max="6659" width="13.625" style="67" customWidth="1"/>
    <col min="6660" max="6660" width="7.125" style="67" customWidth="1"/>
    <col min="6661" max="6661" width="4.375" style="67" customWidth="1"/>
    <col min="6662" max="6664" width="9.375" style="67" customWidth="1"/>
    <col min="6665" max="6907" width="8" style="67"/>
    <col min="6908" max="6908" width="1" style="67" customWidth="1"/>
    <col min="6909" max="6909" width="16.25" style="67" customWidth="1"/>
    <col min="6910" max="6910" width="18.625" style="67" customWidth="1"/>
    <col min="6911" max="6911" width="6" style="67" customWidth="1"/>
    <col min="6912" max="6912" width="15.875" style="67" customWidth="1"/>
    <col min="6913" max="6913" width="10.375" style="67" customWidth="1"/>
    <col min="6914" max="6914" width="32.125" style="67" customWidth="1"/>
    <col min="6915" max="6915" width="13.625" style="67" customWidth="1"/>
    <col min="6916" max="6916" width="7.125" style="67" customWidth="1"/>
    <col min="6917" max="6917" width="4.375" style="67" customWidth="1"/>
    <col min="6918" max="6920" width="9.375" style="67" customWidth="1"/>
    <col min="6921" max="7163" width="8" style="67"/>
    <col min="7164" max="7164" width="1" style="67" customWidth="1"/>
    <col min="7165" max="7165" width="16.25" style="67" customWidth="1"/>
    <col min="7166" max="7166" width="18.625" style="67" customWidth="1"/>
    <col min="7167" max="7167" width="6" style="67" customWidth="1"/>
    <col min="7168" max="7168" width="15.875" style="67" customWidth="1"/>
    <col min="7169" max="7169" width="10.375" style="67" customWidth="1"/>
    <col min="7170" max="7170" width="32.125" style="67" customWidth="1"/>
    <col min="7171" max="7171" width="13.625" style="67" customWidth="1"/>
    <col min="7172" max="7172" width="7.125" style="67" customWidth="1"/>
    <col min="7173" max="7173" width="4.375" style="67" customWidth="1"/>
    <col min="7174" max="7176" width="9.375" style="67" customWidth="1"/>
    <col min="7177" max="7419" width="8" style="67"/>
    <col min="7420" max="7420" width="1" style="67" customWidth="1"/>
    <col min="7421" max="7421" width="16.25" style="67" customWidth="1"/>
    <col min="7422" max="7422" width="18.625" style="67" customWidth="1"/>
    <col min="7423" max="7423" width="6" style="67" customWidth="1"/>
    <col min="7424" max="7424" width="15.875" style="67" customWidth="1"/>
    <col min="7425" max="7425" width="10.375" style="67" customWidth="1"/>
    <col min="7426" max="7426" width="32.125" style="67" customWidth="1"/>
    <col min="7427" max="7427" width="13.625" style="67" customWidth="1"/>
    <col min="7428" max="7428" width="7.125" style="67" customWidth="1"/>
    <col min="7429" max="7429" width="4.375" style="67" customWidth="1"/>
    <col min="7430" max="7432" width="9.375" style="67" customWidth="1"/>
    <col min="7433" max="7675" width="8" style="67"/>
    <col min="7676" max="7676" width="1" style="67" customWidth="1"/>
    <col min="7677" max="7677" width="16.25" style="67" customWidth="1"/>
    <col min="7678" max="7678" width="18.625" style="67" customWidth="1"/>
    <col min="7679" max="7679" width="6" style="67" customWidth="1"/>
    <col min="7680" max="7680" width="15.875" style="67" customWidth="1"/>
    <col min="7681" max="7681" width="10.375" style="67" customWidth="1"/>
    <col min="7682" max="7682" width="32.125" style="67" customWidth="1"/>
    <col min="7683" max="7683" width="13.625" style="67" customWidth="1"/>
    <col min="7684" max="7684" width="7.125" style="67" customWidth="1"/>
    <col min="7685" max="7685" width="4.375" style="67" customWidth="1"/>
    <col min="7686" max="7688" width="9.375" style="67" customWidth="1"/>
    <col min="7689" max="7931" width="8" style="67"/>
    <col min="7932" max="7932" width="1" style="67" customWidth="1"/>
    <col min="7933" max="7933" width="16.25" style="67" customWidth="1"/>
    <col min="7934" max="7934" width="18.625" style="67" customWidth="1"/>
    <col min="7935" max="7935" width="6" style="67" customWidth="1"/>
    <col min="7936" max="7936" width="15.875" style="67" customWidth="1"/>
    <col min="7937" max="7937" width="10.375" style="67" customWidth="1"/>
    <col min="7938" max="7938" width="32.125" style="67" customWidth="1"/>
    <col min="7939" max="7939" width="13.625" style="67" customWidth="1"/>
    <col min="7940" max="7940" width="7.125" style="67" customWidth="1"/>
    <col min="7941" max="7941" width="4.375" style="67" customWidth="1"/>
    <col min="7942" max="7944" width="9.375" style="67" customWidth="1"/>
    <col min="7945" max="8187" width="8" style="67"/>
    <col min="8188" max="8188" width="1" style="67" customWidth="1"/>
    <col min="8189" max="8189" width="16.25" style="67" customWidth="1"/>
    <col min="8190" max="8190" width="18.625" style="67" customWidth="1"/>
    <col min="8191" max="8191" width="6" style="67" customWidth="1"/>
    <col min="8192" max="8192" width="15.875" style="67" customWidth="1"/>
    <col min="8193" max="8193" width="10.375" style="67" customWidth="1"/>
    <col min="8194" max="8194" width="32.125" style="67" customWidth="1"/>
    <col min="8195" max="8195" width="13.625" style="67" customWidth="1"/>
    <col min="8196" max="8196" width="7.125" style="67" customWidth="1"/>
    <col min="8197" max="8197" width="4.375" style="67" customWidth="1"/>
    <col min="8198" max="8200" width="9.375" style="67" customWidth="1"/>
    <col min="8201" max="8443" width="8" style="67"/>
    <col min="8444" max="8444" width="1" style="67" customWidth="1"/>
    <col min="8445" max="8445" width="16.25" style="67" customWidth="1"/>
    <col min="8446" max="8446" width="18.625" style="67" customWidth="1"/>
    <col min="8447" max="8447" width="6" style="67" customWidth="1"/>
    <col min="8448" max="8448" width="15.875" style="67" customWidth="1"/>
    <col min="8449" max="8449" width="10.375" style="67" customWidth="1"/>
    <col min="8450" max="8450" width="32.125" style="67" customWidth="1"/>
    <col min="8451" max="8451" width="13.625" style="67" customWidth="1"/>
    <col min="8452" max="8452" width="7.125" style="67" customWidth="1"/>
    <col min="8453" max="8453" width="4.375" style="67" customWidth="1"/>
    <col min="8454" max="8456" width="9.375" style="67" customWidth="1"/>
    <col min="8457" max="8699" width="8" style="67"/>
    <col min="8700" max="8700" width="1" style="67" customWidth="1"/>
    <col min="8701" max="8701" width="16.25" style="67" customWidth="1"/>
    <col min="8702" max="8702" width="18.625" style="67" customWidth="1"/>
    <col min="8703" max="8703" width="6" style="67" customWidth="1"/>
    <col min="8704" max="8704" width="15.875" style="67" customWidth="1"/>
    <col min="8705" max="8705" width="10.375" style="67" customWidth="1"/>
    <col min="8706" max="8706" width="32.125" style="67" customWidth="1"/>
    <col min="8707" max="8707" width="13.625" style="67" customWidth="1"/>
    <col min="8708" max="8708" width="7.125" style="67" customWidth="1"/>
    <col min="8709" max="8709" width="4.375" style="67" customWidth="1"/>
    <col min="8710" max="8712" width="9.375" style="67" customWidth="1"/>
    <col min="8713" max="8955" width="8" style="67"/>
    <col min="8956" max="8956" width="1" style="67" customWidth="1"/>
    <col min="8957" max="8957" width="16.25" style="67" customWidth="1"/>
    <col min="8958" max="8958" width="18.625" style="67" customWidth="1"/>
    <col min="8959" max="8959" width="6" style="67" customWidth="1"/>
    <col min="8960" max="8960" width="15.875" style="67" customWidth="1"/>
    <col min="8961" max="8961" width="10.375" style="67" customWidth="1"/>
    <col min="8962" max="8962" width="32.125" style="67" customWidth="1"/>
    <col min="8963" max="8963" width="13.625" style="67" customWidth="1"/>
    <col min="8964" max="8964" width="7.125" style="67" customWidth="1"/>
    <col min="8965" max="8965" width="4.375" style="67" customWidth="1"/>
    <col min="8966" max="8968" width="9.375" style="67" customWidth="1"/>
    <col min="8969" max="9211" width="8" style="67"/>
    <col min="9212" max="9212" width="1" style="67" customWidth="1"/>
    <col min="9213" max="9213" width="16.25" style="67" customWidth="1"/>
    <col min="9214" max="9214" width="18.625" style="67" customWidth="1"/>
    <col min="9215" max="9215" width="6" style="67" customWidth="1"/>
    <col min="9216" max="9216" width="15.875" style="67" customWidth="1"/>
    <col min="9217" max="9217" width="10.375" style="67" customWidth="1"/>
    <col min="9218" max="9218" width="32.125" style="67" customWidth="1"/>
    <col min="9219" max="9219" width="13.625" style="67" customWidth="1"/>
    <col min="9220" max="9220" width="7.125" style="67" customWidth="1"/>
    <col min="9221" max="9221" width="4.375" style="67" customWidth="1"/>
    <col min="9222" max="9224" width="9.375" style="67" customWidth="1"/>
    <col min="9225" max="9467" width="8" style="67"/>
    <col min="9468" max="9468" width="1" style="67" customWidth="1"/>
    <col min="9469" max="9469" width="16.25" style="67" customWidth="1"/>
    <col min="9470" max="9470" width="18.625" style="67" customWidth="1"/>
    <col min="9471" max="9471" width="6" style="67" customWidth="1"/>
    <col min="9472" max="9472" width="15.875" style="67" customWidth="1"/>
    <col min="9473" max="9473" width="10.375" style="67" customWidth="1"/>
    <col min="9474" max="9474" width="32.125" style="67" customWidth="1"/>
    <col min="9475" max="9475" width="13.625" style="67" customWidth="1"/>
    <col min="9476" max="9476" width="7.125" style="67" customWidth="1"/>
    <col min="9477" max="9477" width="4.375" style="67" customWidth="1"/>
    <col min="9478" max="9480" width="9.375" style="67" customWidth="1"/>
    <col min="9481" max="9723" width="8" style="67"/>
    <col min="9724" max="9724" width="1" style="67" customWidth="1"/>
    <col min="9725" max="9725" width="16.25" style="67" customWidth="1"/>
    <col min="9726" max="9726" width="18.625" style="67" customWidth="1"/>
    <col min="9727" max="9727" width="6" style="67" customWidth="1"/>
    <col min="9728" max="9728" width="15.875" style="67" customWidth="1"/>
    <col min="9729" max="9729" width="10.375" style="67" customWidth="1"/>
    <col min="9730" max="9730" width="32.125" style="67" customWidth="1"/>
    <col min="9731" max="9731" width="13.625" style="67" customWidth="1"/>
    <col min="9732" max="9732" width="7.125" style="67" customWidth="1"/>
    <col min="9733" max="9733" width="4.375" style="67" customWidth="1"/>
    <col min="9734" max="9736" width="9.375" style="67" customWidth="1"/>
    <col min="9737" max="9979" width="8" style="67"/>
    <col min="9980" max="9980" width="1" style="67" customWidth="1"/>
    <col min="9981" max="9981" width="16.25" style="67" customWidth="1"/>
    <col min="9982" max="9982" width="18.625" style="67" customWidth="1"/>
    <col min="9983" max="9983" width="6" style="67" customWidth="1"/>
    <col min="9984" max="9984" width="15.875" style="67" customWidth="1"/>
    <col min="9985" max="9985" width="10.375" style="67" customWidth="1"/>
    <col min="9986" max="9986" width="32.125" style="67" customWidth="1"/>
    <col min="9987" max="9987" width="13.625" style="67" customWidth="1"/>
    <col min="9988" max="9988" width="7.125" style="67" customWidth="1"/>
    <col min="9989" max="9989" width="4.375" style="67" customWidth="1"/>
    <col min="9990" max="9992" width="9.375" style="67" customWidth="1"/>
    <col min="9993" max="10235" width="8" style="67"/>
    <col min="10236" max="10236" width="1" style="67" customWidth="1"/>
    <col min="10237" max="10237" width="16.25" style="67" customWidth="1"/>
    <col min="10238" max="10238" width="18.625" style="67" customWidth="1"/>
    <col min="10239" max="10239" width="6" style="67" customWidth="1"/>
    <col min="10240" max="10240" width="15.875" style="67" customWidth="1"/>
    <col min="10241" max="10241" width="10.375" style="67" customWidth="1"/>
    <col min="10242" max="10242" width="32.125" style="67" customWidth="1"/>
    <col min="10243" max="10243" width="13.625" style="67" customWidth="1"/>
    <col min="10244" max="10244" width="7.125" style="67" customWidth="1"/>
    <col min="10245" max="10245" width="4.375" style="67" customWidth="1"/>
    <col min="10246" max="10248" width="9.375" style="67" customWidth="1"/>
    <col min="10249" max="10491" width="8" style="67"/>
    <col min="10492" max="10492" width="1" style="67" customWidth="1"/>
    <col min="10493" max="10493" width="16.25" style="67" customWidth="1"/>
    <col min="10494" max="10494" width="18.625" style="67" customWidth="1"/>
    <col min="10495" max="10495" width="6" style="67" customWidth="1"/>
    <col min="10496" max="10496" width="15.875" style="67" customWidth="1"/>
    <col min="10497" max="10497" width="10.375" style="67" customWidth="1"/>
    <col min="10498" max="10498" width="32.125" style="67" customWidth="1"/>
    <col min="10499" max="10499" width="13.625" style="67" customWidth="1"/>
    <col min="10500" max="10500" width="7.125" style="67" customWidth="1"/>
    <col min="10501" max="10501" width="4.375" style="67" customWidth="1"/>
    <col min="10502" max="10504" width="9.375" style="67" customWidth="1"/>
    <col min="10505" max="10747" width="8" style="67"/>
    <col min="10748" max="10748" width="1" style="67" customWidth="1"/>
    <col min="10749" max="10749" width="16.25" style="67" customWidth="1"/>
    <col min="10750" max="10750" width="18.625" style="67" customWidth="1"/>
    <col min="10751" max="10751" width="6" style="67" customWidth="1"/>
    <col min="10752" max="10752" width="15.875" style="67" customWidth="1"/>
    <col min="10753" max="10753" width="10.375" style="67" customWidth="1"/>
    <col min="10754" max="10754" width="32.125" style="67" customWidth="1"/>
    <col min="10755" max="10755" width="13.625" style="67" customWidth="1"/>
    <col min="10756" max="10756" width="7.125" style="67" customWidth="1"/>
    <col min="10757" max="10757" width="4.375" style="67" customWidth="1"/>
    <col min="10758" max="10760" width="9.375" style="67" customWidth="1"/>
    <col min="10761" max="11003" width="8" style="67"/>
    <col min="11004" max="11004" width="1" style="67" customWidth="1"/>
    <col min="11005" max="11005" width="16.25" style="67" customWidth="1"/>
    <col min="11006" max="11006" width="18.625" style="67" customWidth="1"/>
    <col min="11007" max="11007" width="6" style="67" customWidth="1"/>
    <col min="11008" max="11008" width="15.875" style="67" customWidth="1"/>
    <col min="11009" max="11009" width="10.375" style="67" customWidth="1"/>
    <col min="11010" max="11010" width="32.125" style="67" customWidth="1"/>
    <col min="11011" max="11011" width="13.625" style="67" customWidth="1"/>
    <col min="11012" max="11012" width="7.125" style="67" customWidth="1"/>
    <col min="11013" max="11013" width="4.375" style="67" customWidth="1"/>
    <col min="11014" max="11016" width="9.375" style="67" customWidth="1"/>
    <col min="11017" max="11259" width="8" style="67"/>
    <col min="11260" max="11260" width="1" style="67" customWidth="1"/>
    <col min="11261" max="11261" width="16.25" style="67" customWidth="1"/>
    <col min="11262" max="11262" width="18.625" style="67" customWidth="1"/>
    <col min="11263" max="11263" width="6" style="67" customWidth="1"/>
    <col min="11264" max="11264" width="15.875" style="67" customWidth="1"/>
    <col min="11265" max="11265" width="10.375" style="67" customWidth="1"/>
    <col min="11266" max="11266" width="32.125" style="67" customWidth="1"/>
    <col min="11267" max="11267" width="13.625" style="67" customWidth="1"/>
    <col min="11268" max="11268" width="7.125" style="67" customWidth="1"/>
    <col min="11269" max="11269" width="4.375" style="67" customWidth="1"/>
    <col min="11270" max="11272" width="9.375" style="67" customWidth="1"/>
    <col min="11273" max="11515" width="8" style="67"/>
    <col min="11516" max="11516" width="1" style="67" customWidth="1"/>
    <col min="11517" max="11517" width="16.25" style="67" customWidth="1"/>
    <col min="11518" max="11518" width="18.625" style="67" customWidth="1"/>
    <col min="11519" max="11519" width="6" style="67" customWidth="1"/>
    <col min="11520" max="11520" width="15.875" style="67" customWidth="1"/>
    <col min="11521" max="11521" width="10.375" style="67" customWidth="1"/>
    <col min="11522" max="11522" width="32.125" style="67" customWidth="1"/>
    <col min="11523" max="11523" width="13.625" style="67" customWidth="1"/>
    <col min="11524" max="11524" width="7.125" style="67" customWidth="1"/>
    <col min="11525" max="11525" width="4.375" style="67" customWidth="1"/>
    <col min="11526" max="11528" width="9.375" style="67" customWidth="1"/>
    <col min="11529" max="11771" width="8" style="67"/>
    <col min="11772" max="11772" width="1" style="67" customWidth="1"/>
    <col min="11773" max="11773" width="16.25" style="67" customWidth="1"/>
    <col min="11774" max="11774" width="18.625" style="67" customWidth="1"/>
    <col min="11775" max="11775" width="6" style="67" customWidth="1"/>
    <col min="11776" max="11776" width="15.875" style="67" customWidth="1"/>
    <col min="11777" max="11777" width="10.375" style="67" customWidth="1"/>
    <col min="11778" max="11778" width="32.125" style="67" customWidth="1"/>
    <col min="11779" max="11779" width="13.625" style="67" customWidth="1"/>
    <col min="11780" max="11780" width="7.125" style="67" customWidth="1"/>
    <col min="11781" max="11781" width="4.375" style="67" customWidth="1"/>
    <col min="11782" max="11784" width="9.375" style="67" customWidth="1"/>
    <col min="11785" max="12027" width="8" style="67"/>
    <col min="12028" max="12028" width="1" style="67" customWidth="1"/>
    <col min="12029" max="12029" width="16.25" style="67" customWidth="1"/>
    <col min="12030" max="12030" width="18.625" style="67" customWidth="1"/>
    <col min="12031" max="12031" width="6" style="67" customWidth="1"/>
    <col min="12032" max="12032" width="15.875" style="67" customWidth="1"/>
    <col min="12033" max="12033" width="10.375" style="67" customWidth="1"/>
    <col min="12034" max="12034" width="32.125" style="67" customWidth="1"/>
    <col min="12035" max="12035" width="13.625" style="67" customWidth="1"/>
    <col min="12036" max="12036" width="7.125" style="67" customWidth="1"/>
    <col min="12037" max="12037" width="4.375" style="67" customWidth="1"/>
    <col min="12038" max="12040" width="9.375" style="67" customWidth="1"/>
    <col min="12041" max="12283" width="8" style="67"/>
    <col min="12284" max="12284" width="1" style="67" customWidth="1"/>
    <col min="12285" max="12285" width="16.25" style="67" customWidth="1"/>
    <col min="12286" max="12286" width="18.625" style="67" customWidth="1"/>
    <col min="12287" max="12287" width="6" style="67" customWidth="1"/>
    <col min="12288" max="12288" width="15.875" style="67" customWidth="1"/>
    <col min="12289" max="12289" width="10.375" style="67" customWidth="1"/>
    <col min="12290" max="12290" width="32.125" style="67" customWidth="1"/>
    <col min="12291" max="12291" width="13.625" style="67" customWidth="1"/>
    <col min="12292" max="12292" width="7.125" style="67" customWidth="1"/>
    <col min="12293" max="12293" width="4.375" style="67" customWidth="1"/>
    <col min="12294" max="12296" width="9.375" style="67" customWidth="1"/>
    <col min="12297" max="12539" width="8" style="67"/>
    <col min="12540" max="12540" width="1" style="67" customWidth="1"/>
    <col min="12541" max="12541" width="16.25" style="67" customWidth="1"/>
    <col min="12542" max="12542" width="18.625" style="67" customWidth="1"/>
    <col min="12543" max="12543" width="6" style="67" customWidth="1"/>
    <col min="12544" max="12544" width="15.875" style="67" customWidth="1"/>
    <col min="12545" max="12545" width="10.375" style="67" customWidth="1"/>
    <col min="12546" max="12546" width="32.125" style="67" customWidth="1"/>
    <col min="12547" max="12547" width="13.625" style="67" customWidth="1"/>
    <col min="12548" max="12548" width="7.125" style="67" customWidth="1"/>
    <col min="12549" max="12549" width="4.375" style="67" customWidth="1"/>
    <col min="12550" max="12552" width="9.375" style="67" customWidth="1"/>
    <col min="12553" max="12795" width="8" style="67"/>
    <col min="12796" max="12796" width="1" style="67" customWidth="1"/>
    <col min="12797" max="12797" width="16.25" style="67" customWidth="1"/>
    <col min="12798" max="12798" width="18.625" style="67" customWidth="1"/>
    <col min="12799" max="12799" width="6" style="67" customWidth="1"/>
    <col min="12800" max="12800" width="15.875" style="67" customWidth="1"/>
    <col min="12801" max="12801" width="10.375" style="67" customWidth="1"/>
    <col min="12802" max="12802" width="32.125" style="67" customWidth="1"/>
    <col min="12803" max="12803" width="13.625" style="67" customWidth="1"/>
    <col min="12804" max="12804" width="7.125" style="67" customWidth="1"/>
    <col min="12805" max="12805" width="4.375" style="67" customWidth="1"/>
    <col min="12806" max="12808" width="9.375" style="67" customWidth="1"/>
    <col min="12809" max="13051" width="8" style="67"/>
    <col min="13052" max="13052" width="1" style="67" customWidth="1"/>
    <col min="13053" max="13053" width="16.25" style="67" customWidth="1"/>
    <col min="13054" max="13054" width="18.625" style="67" customWidth="1"/>
    <col min="13055" max="13055" width="6" style="67" customWidth="1"/>
    <col min="13056" max="13056" width="15.875" style="67" customWidth="1"/>
    <col min="13057" max="13057" width="10.375" style="67" customWidth="1"/>
    <col min="13058" max="13058" width="32.125" style="67" customWidth="1"/>
    <col min="13059" max="13059" width="13.625" style="67" customWidth="1"/>
    <col min="13060" max="13060" width="7.125" style="67" customWidth="1"/>
    <col min="13061" max="13061" width="4.375" style="67" customWidth="1"/>
    <col min="13062" max="13064" width="9.375" style="67" customWidth="1"/>
    <col min="13065" max="13307" width="8" style="67"/>
    <col min="13308" max="13308" width="1" style="67" customWidth="1"/>
    <col min="13309" max="13309" width="16.25" style="67" customWidth="1"/>
    <col min="13310" max="13310" width="18.625" style="67" customWidth="1"/>
    <col min="13311" max="13311" width="6" style="67" customWidth="1"/>
    <col min="13312" max="13312" width="15.875" style="67" customWidth="1"/>
    <col min="13313" max="13313" width="10.375" style="67" customWidth="1"/>
    <col min="13314" max="13314" width="32.125" style="67" customWidth="1"/>
    <col min="13315" max="13315" width="13.625" style="67" customWidth="1"/>
    <col min="13316" max="13316" width="7.125" style="67" customWidth="1"/>
    <col min="13317" max="13317" width="4.375" style="67" customWidth="1"/>
    <col min="13318" max="13320" width="9.375" style="67" customWidth="1"/>
    <col min="13321" max="13563" width="8" style="67"/>
    <col min="13564" max="13564" width="1" style="67" customWidth="1"/>
    <col min="13565" max="13565" width="16.25" style="67" customWidth="1"/>
    <col min="13566" max="13566" width="18.625" style="67" customWidth="1"/>
    <col min="13567" max="13567" width="6" style="67" customWidth="1"/>
    <col min="13568" max="13568" width="15.875" style="67" customWidth="1"/>
    <col min="13569" max="13569" width="10.375" style="67" customWidth="1"/>
    <col min="13570" max="13570" width="32.125" style="67" customWidth="1"/>
    <col min="13571" max="13571" width="13.625" style="67" customWidth="1"/>
    <col min="13572" max="13572" width="7.125" style="67" customWidth="1"/>
    <col min="13573" max="13573" width="4.375" style="67" customWidth="1"/>
    <col min="13574" max="13576" width="9.375" style="67" customWidth="1"/>
    <col min="13577" max="13819" width="8" style="67"/>
    <col min="13820" max="13820" width="1" style="67" customWidth="1"/>
    <col min="13821" max="13821" width="16.25" style="67" customWidth="1"/>
    <col min="13822" max="13822" width="18.625" style="67" customWidth="1"/>
    <col min="13823" max="13823" width="6" style="67" customWidth="1"/>
    <col min="13824" max="13824" width="15.875" style="67" customWidth="1"/>
    <col min="13825" max="13825" width="10.375" style="67" customWidth="1"/>
    <col min="13826" max="13826" width="32.125" style="67" customWidth="1"/>
    <col min="13827" max="13827" width="13.625" style="67" customWidth="1"/>
    <col min="13828" max="13828" width="7.125" style="67" customWidth="1"/>
    <col min="13829" max="13829" width="4.375" style="67" customWidth="1"/>
    <col min="13830" max="13832" width="9.375" style="67" customWidth="1"/>
    <col min="13833" max="14075" width="8" style="67"/>
    <col min="14076" max="14076" width="1" style="67" customWidth="1"/>
    <col min="14077" max="14077" width="16.25" style="67" customWidth="1"/>
    <col min="14078" max="14078" width="18.625" style="67" customWidth="1"/>
    <col min="14079" max="14079" width="6" style="67" customWidth="1"/>
    <col min="14080" max="14080" width="15.875" style="67" customWidth="1"/>
    <col min="14081" max="14081" width="10.375" style="67" customWidth="1"/>
    <col min="14082" max="14082" width="32.125" style="67" customWidth="1"/>
    <col min="14083" max="14083" width="13.625" style="67" customWidth="1"/>
    <col min="14084" max="14084" width="7.125" style="67" customWidth="1"/>
    <col min="14085" max="14085" width="4.375" style="67" customWidth="1"/>
    <col min="14086" max="14088" width="9.375" style="67" customWidth="1"/>
    <col min="14089" max="14331" width="8" style="67"/>
    <col min="14332" max="14332" width="1" style="67" customWidth="1"/>
    <col min="14333" max="14333" width="16.25" style="67" customWidth="1"/>
    <col min="14334" max="14334" width="18.625" style="67" customWidth="1"/>
    <col min="14335" max="14335" width="6" style="67" customWidth="1"/>
    <col min="14336" max="14336" width="15.875" style="67" customWidth="1"/>
    <col min="14337" max="14337" width="10.375" style="67" customWidth="1"/>
    <col min="14338" max="14338" width="32.125" style="67" customWidth="1"/>
    <col min="14339" max="14339" width="13.625" style="67" customWidth="1"/>
    <col min="14340" max="14340" width="7.125" style="67" customWidth="1"/>
    <col min="14341" max="14341" width="4.375" style="67" customWidth="1"/>
    <col min="14342" max="14344" width="9.375" style="67" customWidth="1"/>
    <col min="14345" max="14587" width="8" style="67"/>
    <col min="14588" max="14588" width="1" style="67" customWidth="1"/>
    <col min="14589" max="14589" width="16.25" style="67" customWidth="1"/>
    <col min="14590" max="14590" width="18.625" style="67" customWidth="1"/>
    <col min="14591" max="14591" width="6" style="67" customWidth="1"/>
    <col min="14592" max="14592" width="15.875" style="67" customWidth="1"/>
    <col min="14593" max="14593" width="10.375" style="67" customWidth="1"/>
    <col min="14594" max="14594" width="32.125" style="67" customWidth="1"/>
    <col min="14595" max="14595" width="13.625" style="67" customWidth="1"/>
    <col min="14596" max="14596" width="7.125" style="67" customWidth="1"/>
    <col min="14597" max="14597" width="4.375" style="67" customWidth="1"/>
    <col min="14598" max="14600" width="9.375" style="67" customWidth="1"/>
    <col min="14601" max="14843" width="8" style="67"/>
    <col min="14844" max="14844" width="1" style="67" customWidth="1"/>
    <col min="14845" max="14845" width="16.25" style="67" customWidth="1"/>
    <col min="14846" max="14846" width="18.625" style="67" customWidth="1"/>
    <col min="14847" max="14847" width="6" style="67" customWidth="1"/>
    <col min="14848" max="14848" width="15.875" style="67" customWidth="1"/>
    <col min="14849" max="14849" width="10.375" style="67" customWidth="1"/>
    <col min="14850" max="14850" width="32.125" style="67" customWidth="1"/>
    <col min="14851" max="14851" width="13.625" style="67" customWidth="1"/>
    <col min="14852" max="14852" width="7.125" style="67" customWidth="1"/>
    <col min="14853" max="14853" width="4.375" style="67" customWidth="1"/>
    <col min="14854" max="14856" width="9.375" style="67" customWidth="1"/>
    <col min="14857" max="15099" width="8" style="67"/>
    <col min="15100" max="15100" width="1" style="67" customWidth="1"/>
    <col min="15101" max="15101" width="16.25" style="67" customWidth="1"/>
    <col min="15102" max="15102" width="18.625" style="67" customWidth="1"/>
    <col min="15103" max="15103" width="6" style="67" customWidth="1"/>
    <col min="15104" max="15104" width="15.875" style="67" customWidth="1"/>
    <col min="15105" max="15105" width="10.375" style="67" customWidth="1"/>
    <col min="15106" max="15106" width="32.125" style="67" customWidth="1"/>
    <col min="15107" max="15107" width="13.625" style="67" customWidth="1"/>
    <col min="15108" max="15108" width="7.125" style="67" customWidth="1"/>
    <col min="15109" max="15109" width="4.375" style="67" customWidth="1"/>
    <col min="15110" max="15112" width="9.375" style="67" customWidth="1"/>
    <col min="15113" max="15355" width="8" style="67"/>
    <col min="15356" max="15356" width="1" style="67" customWidth="1"/>
    <col min="15357" max="15357" width="16.25" style="67" customWidth="1"/>
    <col min="15358" max="15358" width="18.625" style="67" customWidth="1"/>
    <col min="15359" max="15359" width="6" style="67" customWidth="1"/>
    <col min="15360" max="15360" width="15.875" style="67" customWidth="1"/>
    <col min="15361" max="15361" width="10.375" style="67" customWidth="1"/>
    <col min="15362" max="15362" width="32.125" style="67" customWidth="1"/>
    <col min="15363" max="15363" width="13.625" style="67" customWidth="1"/>
    <col min="15364" max="15364" width="7.125" style="67" customWidth="1"/>
    <col min="15365" max="15365" width="4.375" style="67" customWidth="1"/>
    <col min="15366" max="15368" width="9.375" style="67" customWidth="1"/>
    <col min="15369" max="15611" width="8" style="67"/>
    <col min="15612" max="15612" width="1" style="67" customWidth="1"/>
    <col min="15613" max="15613" width="16.25" style="67" customWidth="1"/>
    <col min="15614" max="15614" width="18.625" style="67" customWidth="1"/>
    <col min="15615" max="15615" width="6" style="67" customWidth="1"/>
    <col min="15616" max="15616" width="15.875" style="67" customWidth="1"/>
    <col min="15617" max="15617" width="10.375" style="67" customWidth="1"/>
    <col min="15618" max="15618" width="32.125" style="67" customWidth="1"/>
    <col min="15619" max="15619" width="13.625" style="67" customWidth="1"/>
    <col min="15620" max="15620" width="7.125" style="67" customWidth="1"/>
    <col min="15621" max="15621" width="4.375" style="67" customWidth="1"/>
    <col min="15622" max="15624" width="9.375" style="67" customWidth="1"/>
    <col min="15625" max="15867" width="8" style="67"/>
    <col min="15868" max="15868" width="1" style="67" customWidth="1"/>
    <col min="15869" max="15869" width="16.25" style="67" customWidth="1"/>
    <col min="15870" max="15870" width="18.625" style="67" customWidth="1"/>
    <col min="15871" max="15871" width="6" style="67" customWidth="1"/>
    <col min="15872" max="15872" width="15.875" style="67" customWidth="1"/>
    <col min="15873" max="15873" width="10.375" style="67" customWidth="1"/>
    <col min="15874" max="15874" width="32.125" style="67" customWidth="1"/>
    <col min="15875" max="15875" width="13.625" style="67" customWidth="1"/>
    <col min="15876" max="15876" width="7.125" style="67" customWidth="1"/>
    <col min="15877" max="15877" width="4.375" style="67" customWidth="1"/>
    <col min="15878" max="15880" width="9.375" style="67" customWidth="1"/>
    <col min="15881" max="16123" width="8" style="67"/>
    <col min="16124" max="16124" width="1" style="67" customWidth="1"/>
    <col min="16125" max="16125" width="16.25" style="67" customWidth="1"/>
    <col min="16126" max="16126" width="18.625" style="67" customWidth="1"/>
    <col min="16127" max="16127" width="6" style="67" customWidth="1"/>
    <col min="16128" max="16128" width="15.875" style="67" customWidth="1"/>
    <col min="16129" max="16129" width="10.375" style="67" customWidth="1"/>
    <col min="16130" max="16130" width="32.125" style="67" customWidth="1"/>
    <col min="16131" max="16131" width="13.625" style="67" customWidth="1"/>
    <col min="16132" max="16132" width="7.125" style="67" customWidth="1"/>
    <col min="16133" max="16133" width="4.375" style="67" customWidth="1"/>
    <col min="16134" max="16136" width="9.375" style="67" customWidth="1"/>
    <col min="16137" max="16384" width="9" style="67"/>
  </cols>
  <sheetData>
    <row r="1" spans="2:7" s="68" customFormat="1" ht="35.25" customHeight="1" x14ac:dyDescent="0.25">
      <c r="B1" s="69" t="s">
        <v>68</v>
      </c>
      <c r="C1" s="446" t="str">
        <f>'0.Page d''accueil'!F5</f>
        <v>Municipalité de référence</v>
      </c>
      <c r="D1" s="446"/>
    </row>
    <row r="2" spans="2:7" s="31" customFormat="1" ht="51" customHeight="1" x14ac:dyDescent="0.2">
      <c r="B2" s="68" t="s">
        <v>66</v>
      </c>
      <c r="C2" s="448" t="s">
        <v>212</v>
      </c>
      <c r="D2" s="450"/>
      <c r="E2" s="450"/>
    </row>
    <row r="3" spans="2:7" ht="15" customHeight="1" x14ac:dyDescent="0.25">
      <c r="E3" s="59"/>
      <c r="G3" s="60">
        <v>0.4</v>
      </c>
    </row>
    <row r="4" spans="2:7" s="38" customFormat="1" ht="13.15" x14ac:dyDescent="0.25">
      <c r="F4" s="24"/>
    </row>
    <row r="5" spans="2:7" s="38" customFormat="1" ht="37.5" customHeight="1" x14ac:dyDescent="0.25">
      <c r="C5" s="71"/>
    </row>
    <row r="6" spans="2:7" s="38" customFormat="1" ht="13.15" x14ac:dyDescent="0.25">
      <c r="C6" s="70"/>
    </row>
    <row r="7" spans="2:7" s="38" customFormat="1" ht="13.15" x14ac:dyDescent="0.25"/>
    <row r="8" spans="2:7" s="38" customFormat="1" ht="13.15" x14ac:dyDescent="0.25"/>
    <row r="9" spans="2:7" s="38" customFormat="1" ht="13.15" x14ac:dyDescent="0.25"/>
    <row r="10" spans="2:7" s="38" customFormat="1" ht="13.15" x14ac:dyDescent="0.25">
      <c r="G10" s="33"/>
    </row>
    <row r="11" spans="2:7" s="38" customFormat="1" ht="13.15" x14ac:dyDescent="0.25"/>
    <row r="12" spans="2:7" s="38" customFormat="1" ht="13.15" x14ac:dyDescent="0.25"/>
    <row r="13" spans="2:7" s="38" customFormat="1" ht="17.45" x14ac:dyDescent="0.25">
      <c r="C13" s="139" t="s">
        <v>208</v>
      </c>
      <c r="D13" s="108"/>
    </row>
    <row r="14" spans="2:7" s="38" customFormat="1" ht="15" customHeight="1" x14ac:dyDescent="0.25"/>
    <row r="15" spans="2:7" s="38" customFormat="1" ht="13.15" x14ac:dyDescent="0.25"/>
    <row r="16" spans="2:7" s="38" customFormat="1" ht="13.15" x14ac:dyDescent="0.25"/>
    <row r="17" spans="3:4" s="38" customFormat="1" ht="15.75" x14ac:dyDescent="0.2">
      <c r="C17" s="72" t="s">
        <v>209</v>
      </c>
      <c r="D17" s="140"/>
    </row>
    <row r="18" spans="3:4" s="38" customFormat="1" ht="13.15" x14ac:dyDescent="0.25">
      <c r="C18" s="67"/>
      <c r="D18" s="73"/>
    </row>
    <row r="19" spans="3:4" ht="31.5" x14ac:dyDescent="0.2">
      <c r="C19" s="72" t="s">
        <v>210</v>
      </c>
      <c r="D19" s="141"/>
    </row>
    <row r="20" spans="3:4" ht="13.15" x14ac:dyDescent="0.25">
      <c r="D20" s="74"/>
    </row>
    <row r="21" spans="3:4" ht="51.75" customHeight="1" x14ac:dyDescent="0.2">
      <c r="C21" s="72" t="s">
        <v>211</v>
      </c>
      <c r="D21" s="141"/>
    </row>
    <row r="22" spans="3:4" ht="22.5" customHeight="1" x14ac:dyDescent="0.25"/>
    <row r="23" spans="3:4" ht="15.6" x14ac:dyDescent="0.25">
      <c r="C23" s="72" t="s">
        <v>42</v>
      </c>
      <c r="D23" s="132"/>
    </row>
    <row r="24" spans="3:4" ht="13.15" x14ac:dyDescent="0.25">
      <c r="D24" s="131"/>
    </row>
    <row r="27" spans="3:4" ht="15.75" x14ac:dyDescent="0.2">
      <c r="C27" s="72"/>
    </row>
    <row r="30" spans="3:4" ht="5.25" customHeight="1" x14ac:dyDescent="0.2"/>
    <row r="31" spans="3:4" ht="15.75" x14ac:dyDescent="0.2">
      <c r="C31" s="72" t="s">
        <v>41</v>
      </c>
      <c r="D31" s="75"/>
    </row>
  </sheetData>
  <sheetProtection selectLockedCells="1"/>
  <mergeCells count="2">
    <mergeCell ref="C2:E2"/>
    <mergeCell ref="C1:D1"/>
  </mergeCells>
  <pageMargins left="0.25" right="0.25" top="0.90648148148148144" bottom="0.75" header="0.3" footer="0.3"/>
  <pageSetup paperSize="5" scale="90" orientation="landscape" r:id="rId1"/>
  <headerFooter>
    <oddHeader>&amp;L&amp;G&amp;C&amp;"Arial,Bold"&amp;18&amp;K000000Formulaire d'attestation&amp;R&amp;"Arial,Bold"Programme d’aide aux municipalités 
pour la reprise après une catastrophe</oddHeader>
    <oddFooter>&amp;RPage &amp;P de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8" r:id="rId5" name="Check Box 8">
              <controlPr defaultSize="0" autoFill="0" autoLine="0" autoPict="0" altText="Please check this box to confirm">
                <anchor moveWithCells="1">
                  <from>
                    <xdr:col>1</xdr:col>
                    <xdr:colOff>990600</xdr:colOff>
                    <xdr:row>11</xdr:row>
                    <xdr:rowOff>28575</xdr:rowOff>
                  </from>
                  <to>
                    <xdr:col>1</xdr:col>
                    <xdr:colOff>1247775</xdr:colOff>
                    <xdr:row>13</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0.Page d'accueil</vt:lpstr>
      <vt:lpstr>1.Biens et serv. fonctionnement</vt:lpstr>
      <vt:lpstr>2.Biens et serv. immobilisation</vt:lpstr>
      <vt:lpstr>3.Personnel - fonctionnement</vt:lpstr>
      <vt:lpstr>4.Personnel - immobilisations</vt:lpstr>
      <vt:lpstr>5.Matériel - fonctionnement</vt:lpstr>
      <vt:lpstr>6.Matériel - immobilisations</vt:lpstr>
      <vt:lpstr>7.Recettes</vt:lpstr>
      <vt:lpstr>8.Sommaire de la demande</vt:lpstr>
      <vt:lpstr>9. Coûts futurs estimatifs</vt:lpstr>
      <vt:lpstr>10. Attestation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Deanna.Allan@ontario.ca</dc:creator>
  <cp:lastModifiedBy>Scherf, Robert (MAH)</cp:lastModifiedBy>
  <cp:lastPrinted>2015-12-11T17:43:49Z</cp:lastPrinted>
  <dcterms:created xsi:type="dcterms:W3CDTF">2014-05-04T15:17:23Z</dcterms:created>
  <dcterms:modified xsi:type="dcterms:W3CDTF">2017-03-02T20:09:25Z</dcterms:modified>
</cp:coreProperties>
</file>