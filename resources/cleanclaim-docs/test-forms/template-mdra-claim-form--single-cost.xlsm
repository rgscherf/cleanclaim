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4.xml" ContentType="application/vnd.openxmlformats-officedocument.spreadsheetml.table+xml"/>
  <Override PartName="/xl/drawings/drawing1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hidePivotFieldList="1"/>
  <bookViews>
    <workbookView xWindow="0" yWindow="0" windowWidth="20610" windowHeight="9405" firstSheet="5" activeTab="8"/>
  </bookViews>
  <sheets>
    <sheet name="0.Claimant Home Page" sheetId="1" r:id="rId1"/>
    <sheet name="1.Goods &amp; Services Operating Co" sheetId="38" r:id="rId2"/>
    <sheet name="2.Goods &amp; Services Capital Cost" sheetId="39" r:id="rId3"/>
    <sheet name="3.Employee Operating Costs" sheetId="32" r:id="rId4"/>
    <sheet name="4.Employee Capital Costs" sheetId="7" r:id="rId5"/>
    <sheet name="5.Claimant Own Equip Operating " sheetId="20" r:id="rId6"/>
    <sheet name="6.Claimant Own Equip Capital co" sheetId="35" r:id="rId7"/>
    <sheet name="7.Revenue" sheetId="28" r:id="rId8"/>
    <sheet name="8.Total Claim " sheetId="40" r:id="rId9"/>
    <sheet name="9. Future Estimated Costs" sheetId="42" r:id="rId10"/>
    <sheet name="10. Claim Attestation" sheetId="14" r:id="rId11"/>
  </sheets>
  <definedNames>
    <definedName name="_xlnm._FilterDatabase" localSheetId="9" hidden="1">'9. Future Estimated Costs'!#REF!</definedName>
    <definedName name="Capital_Operating">'9. Future Estimated Costs'!#REF!</definedName>
    <definedName name="Costs">'9. Future Estimated Costs'!#REF!</definedName>
  </definedNames>
  <calcPr calcId="145621"/>
</workbook>
</file>

<file path=xl/calcChain.xml><?xml version="1.0" encoding="utf-8"?>
<calcChain xmlns="http://schemas.openxmlformats.org/spreadsheetml/2006/main">
  <c r="J41" i="32" l="1"/>
  <c r="N41" i="32"/>
  <c r="J40" i="32" l="1"/>
  <c r="N40" i="32"/>
  <c r="N15" i="7" l="1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J14" i="7"/>
  <c r="N14" i="7" s="1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9" i="32"/>
  <c r="N39" i="32"/>
  <c r="N14" i="32" l="1"/>
  <c r="N15" i="32"/>
  <c r="N16" i="32"/>
  <c r="N17" i="32"/>
  <c r="N18" i="32"/>
  <c r="N19" i="32"/>
  <c r="N20" i="32"/>
  <c r="N21" i="32"/>
  <c r="N22" i="32"/>
  <c r="N23" i="32"/>
  <c r="N24" i="32"/>
  <c r="N25" i="32"/>
  <c r="N26" i="32"/>
  <c r="N27" i="32"/>
  <c r="N28" i="32"/>
  <c r="N29" i="32"/>
  <c r="N30" i="32"/>
  <c r="N31" i="32"/>
  <c r="N32" i="32"/>
  <c r="N33" i="32"/>
  <c r="N34" i="32"/>
  <c r="N35" i="32"/>
  <c r="N36" i="32"/>
  <c r="N37" i="32"/>
  <c r="N38" i="32"/>
  <c r="J13" i="32" l="1"/>
  <c r="N13" i="32" s="1"/>
  <c r="H10" i="39" l="1"/>
  <c r="H11" i="39"/>
  <c r="H12" i="39"/>
  <c r="H13" i="39"/>
  <c r="H14" i="39"/>
  <c r="H15" i="39"/>
  <c r="H16" i="39"/>
  <c r="H17" i="39"/>
  <c r="H18" i="39"/>
  <c r="H19" i="39"/>
  <c r="H20" i="39"/>
  <c r="H12" i="38"/>
  <c r="H13" i="38"/>
  <c r="H14" i="38"/>
  <c r="H15" i="38"/>
  <c r="H16" i="38"/>
  <c r="H17" i="38"/>
  <c r="H18" i="38"/>
  <c r="H19" i="38"/>
  <c r="H20" i="38"/>
  <c r="H21" i="38"/>
  <c r="J38" i="32" l="1"/>
  <c r="J37" i="32"/>
  <c r="J36" i="32"/>
  <c r="J24" i="35" l="1"/>
  <c r="L24" i="35"/>
  <c r="J23" i="35"/>
  <c r="L23" i="35" s="1"/>
  <c r="J31" i="20"/>
  <c r="L31" i="20" s="1"/>
  <c r="J35" i="32"/>
  <c r="J34" i="32"/>
  <c r="J33" i="32"/>
  <c r="J32" i="32"/>
  <c r="J31" i="32"/>
  <c r="J30" i="32"/>
  <c r="J20" i="39"/>
  <c r="J12" i="38" l="1"/>
  <c r="J13" i="38"/>
  <c r="J14" i="38"/>
  <c r="J15" i="38"/>
  <c r="J16" i="38"/>
  <c r="J17" i="38"/>
  <c r="J18" i="38"/>
  <c r="J19" i="38"/>
  <c r="J20" i="38"/>
  <c r="J21" i="38"/>
  <c r="J10" i="39" l="1"/>
  <c r="J11" i="39"/>
  <c r="J12" i="39"/>
  <c r="J13" i="39"/>
  <c r="J14" i="39"/>
  <c r="J15" i="39"/>
  <c r="J16" i="39"/>
  <c r="J17" i="39"/>
  <c r="J18" i="39"/>
  <c r="J19" i="39"/>
  <c r="J13" i="20" l="1"/>
  <c r="J22" i="35"/>
  <c r="L22" i="35" s="1"/>
  <c r="D2" i="35" l="1"/>
  <c r="J8" i="35" l="1"/>
  <c r="J30" i="20"/>
  <c r="L30" i="20" s="1"/>
  <c r="J29" i="20" l="1"/>
  <c r="L29" i="20" s="1"/>
  <c r="D2" i="32"/>
  <c r="D16" i="40" l="1"/>
  <c r="C1" i="14" l="1"/>
  <c r="G33" i="42"/>
  <c r="D13" i="40"/>
  <c r="E21" i="28"/>
  <c r="J9" i="28"/>
  <c r="I9" i="28"/>
  <c r="J8" i="28"/>
  <c r="I8" i="28"/>
  <c r="I7" i="28"/>
  <c r="H7" i="28"/>
  <c r="J7" i="28" s="1"/>
  <c r="J6" i="28"/>
  <c r="I6" i="28"/>
  <c r="K6" i="28" s="1"/>
  <c r="J5" i="28"/>
  <c r="I5" i="28"/>
  <c r="K5" i="28" s="1"/>
  <c r="J4" i="28"/>
  <c r="I4" i="28"/>
  <c r="C1" i="28"/>
  <c r="J21" i="35"/>
  <c r="L21" i="35" s="1"/>
  <c r="J20" i="35"/>
  <c r="L20" i="35" s="1"/>
  <c r="J19" i="35"/>
  <c r="L19" i="35" s="1"/>
  <c r="J18" i="35"/>
  <c r="L18" i="35" s="1"/>
  <c r="J17" i="35"/>
  <c r="L17" i="35" s="1"/>
  <c r="J16" i="35"/>
  <c r="L16" i="35" s="1"/>
  <c r="J15" i="35"/>
  <c r="L15" i="35" s="1"/>
  <c r="J14" i="35"/>
  <c r="L14" i="35" s="1"/>
  <c r="J13" i="35"/>
  <c r="L13" i="35" s="1"/>
  <c r="J12" i="35"/>
  <c r="L12" i="35" s="1"/>
  <c r="J11" i="35"/>
  <c r="L11" i="35" s="1"/>
  <c r="J9" i="35"/>
  <c r="J28" i="20"/>
  <c r="L28" i="20" s="1"/>
  <c r="J27" i="20"/>
  <c r="L27" i="20" s="1"/>
  <c r="J26" i="20"/>
  <c r="L26" i="20" s="1"/>
  <c r="J25" i="20"/>
  <c r="L25" i="20" s="1"/>
  <c r="J24" i="20"/>
  <c r="L24" i="20" s="1"/>
  <c r="J23" i="20"/>
  <c r="L23" i="20" s="1"/>
  <c r="J22" i="20"/>
  <c r="L22" i="20" s="1"/>
  <c r="J21" i="20"/>
  <c r="L21" i="20" s="1"/>
  <c r="J20" i="20"/>
  <c r="L20" i="20" s="1"/>
  <c r="J19" i="20"/>
  <c r="L19" i="20" s="1"/>
  <c r="J18" i="20"/>
  <c r="L18" i="20" s="1"/>
  <c r="J17" i="20"/>
  <c r="L17" i="20" s="1"/>
  <c r="J16" i="20"/>
  <c r="L16" i="20" s="1"/>
  <c r="J15" i="20"/>
  <c r="L15" i="20" s="1"/>
  <c r="J14" i="20"/>
  <c r="L14" i="20" s="1"/>
  <c r="L13" i="20"/>
  <c r="L30" i="7"/>
  <c r="K30" i="7"/>
  <c r="D2" i="7"/>
  <c r="L42" i="32"/>
  <c r="K42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J15" i="32"/>
  <c r="J14" i="32"/>
  <c r="H21" i="39"/>
  <c r="G21" i="39"/>
  <c r="H22" i="38"/>
  <c r="G22" i="38"/>
  <c r="D10" i="40" l="1"/>
  <c r="J30" i="7"/>
  <c r="J42" i="32"/>
  <c r="D9" i="40"/>
  <c r="D12" i="40"/>
  <c r="K8" i="28"/>
  <c r="K9" i="28"/>
  <c r="L25" i="35"/>
  <c r="D11" i="40"/>
  <c r="L32" i="20"/>
  <c r="J32" i="20"/>
  <c r="N30" i="7"/>
  <c r="N42" i="32"/>
  <c r="I21" i="39"/>
  <c r="D8" i="40"/>
  <c r="I22" i="38"/>
  <c r="D7" i="40"/>
  <c r="D14" i="40" l="1"/>
  <c r="D17" i="40" s="1"/>
</calcChain>
</file>

<file path=xl/sharedStrings.xml><?xml version="1.0" encoding="utf-8"?>
<sst xmlns="http://schemas.openxmlformats.org/spreadsheetml/2006/main" count="424" uniqueCount="225">
  <si>
    <t>Equipment</t>
  </si>
  <si>
    <t>HP</t>
  </si>
  <si>
    <t>Model Number</t>
  </si>
  <si>
    <t>Function</t>
  </si>
  <si>
    <t>Total</t>
  </si>
  <si>
    <r>
      <t>Employee Name</t>
    </r>
    <r>
      <rPr>
        <b/>
        <i/>
        <sz val="10"/>
        <rFont val="Arial"/>
        <family val="2"/>
      </rPr>
      <t xml:space="preserve"> (last name, first name)</t>
    </r>
  </si>
  <si>
    <t>sumtotal</t>
  </si>
  <si>
    <t>Claimant:</t>
  </si>
  <si>
    <t>Telephone</t>
  </si>
  <si>
    <t>Email</t>
  </si>
  <si>
    <t>Date Submitted:</t>
  </si>
  <si>
    <t>Description</t>
  </si>
  <si>
    <t>Hours Used</t>
  </si>
  <si>
    <t>Claimant's Rate</t>
  </si>
  <si>
    <t>Total (Option 1)</t>
  </si>
  <si>
    <t>Purpose:</t>
  </si>
  <si>
    <t>Secondary  Contact:</t>
  </si>
  <si>
    <t>Source of Revenue</t>
  </si>
  <si>
    <t>Document Reference #(s)/pg #(s)</t>
  </si>
  <si>
    <t>Date or Date Range</t>
  </si>
  <si>
    <t>Examples</t>
  </si>
  <si>
    <t>Select One</t>
  </si>
  <si>
    <t>Date Range</t>
  </si>
  <si>
    <t>OT Hours Worked (Full Time Only)</t>
  </si>
  <si>
    <t>Overtime Hourly Wage (Full Time Only)</t>
  </si>
  <si>
    <t>Total Wage (Full Time Only)</t>
  </si>
  <si>
    <t>BF</t>
  </si>
  <si>
    <t>Amount Claimed (Temp or Backfill)</t>
  </si>
  <si>
    <t>Total Costs</t>
  </si>
  <si>
    <t>Total Cost</t>
  </si>
  <si>
    <t>Claim Type</t>
  </si>
  <si>
    <t>Amount</t>
  </si>
  <si>
    <t>(R), (TE) or (BF)</t>
  </si>
  <si>
    <t>R</t>
  </si>
  <si>
    <t>OT Hours Worked (Regular Only)</t>
  </si>
  <si>
    <t>Overtime Hourly Wage (Regular Only)</t>
  </si>
  <si>
    <t>Total Wage (Regular Only)</t>
  </si>
  <si>
    <t>TE</t>
  </si>
  <si>
    <t>Total Wage (TE or BF)</t>
  </si>
  <si>
    <t>Document Reference Page Number</t>
  </si>
  <si>
    <t>Benefits</t>
  </si>
  <si>
    <t>Employee Type (R, TE or BF)</t>
  </si>
  <si>
    <t>Regular Employees Only</t>
  </si>
  <si>
    <t>Make and Model Number</t>
  </si>
  <si>
    <t>Classifier</t>
  </si>
  <si>
    <t xml:space="preserve">Name (Last, First) </t>
  </si>
  <si>
    <t>Position title</t>
  </si>
  <si>
    <t>Description of Work</t>
  </si>
  <si>
    <t>Employee Name (Last, First)</t>
  </si>
  <si>
    <t>Employee Type (R, TE, BF)</t>
  </si>
  <si>
    <t xml:space="preserve">OT Hours Worked </t>
  </si>
  <si>
    <t>Overtime Hourly Wage</t>
  </si>
  <si>
    <t xml:space="preserve"> R Only </t>
  </si>
  <si>
    <t xml:space="preserve"> $           -  </t>
  </si>
  <si>
    <t xml:space="preserve"> $          -  </t>
  </si>
  <si>
    <t xml:space="preserve">  $                    -   </t>
  </si>
  <si>
    <t xml:space="preserve">Purpose: </t>
  </si>
  <si>
    <t>OT Hours Worked</t>
  </si>
  <si>
    <t>Power 135kW</t>
  </si>
  <si>
    <t>Income</t>
  </si>
  <si>
    <t xml:space="preserve">Total Revenue </t>
  </si>
  <si>
    <t>TOTAL Net Claim</t>
  </si>
  <si>
    <t>Column1</t>
  </si>
  <si>
    <t>Total:</t>
  </si>
  <si>
    <t xml:space="preserve">Total:    </t>
  </si>
  <si>
    <t>Goods/Services Supplier</t>
  </si>
  <si>
    <t>Function/Work Performed</t>
  </si>
  <si>
    <t>Date:</t>
  </si>
  <si>
    <t>Signature:</t>
  </si>
  <si>
    <t xml:space="preserve">Name:  </t>
  </si>
  <si>
    <t>Position Title:</t>
  </si>
  <si>
    <t>Legal Name of Claimant Municipality:</t>
  </si>
  <si>
    <t>Please check this box to confirm attestation</t>
  </si>
  <si>
    <t>Total Goods and Services Operating Costs</t>
  </si>
  <si>
    <t>Total Goods and Services Capital Costs</t>
  </si>
  <si>
    <t>Total Employee Operating Costs</t>
  </si>
  <si>
    <t>Total Employee Capital Costs</t>
  </si>
  <si>
    <t>Total Claimant-Owned Equipment Operational Costs</t>
  </si>
  <si>
    <t>Total Claimant-Owned Equipment Capital Costs</t>
  </si>
  <si>
    <t>Type of Event:</t>
  </si>
  <si>
    <t>Municipality of Gold Standard</t>
  </si>
  <si>
    <t>The Razzle Dazzle Tree Company</t>
  </si>
  <si>
    <t>Allan, Deanna</t>
  </si>
  <si>
    <t>Peters, Roderick</t>
  </si>
  <si>
    <t>Zehr, Michelle</t>
  </si>
  <si>
    <t xml:space="preserve">Enter the legal name of the municipality </t>
  </si>
  <si>
    <t>Column2</t>
  </si>
  <si>
    <t>Supporting documentation</t>
  </si>
  <si>
    <t>Select Capital or Operating Cost</t>
  </si>
  <si>
    <t>Total (at 40%)</t>
  </si>
  <si>
    <t>Supplier</t>
  </si>
  <si>
    <t>Start Date YYYY/MM/DD</t>
  </si>
  <si>
    <t>End Date YYYY/MM/DD</t>
  </si>
  <si>
    <t>Temporary or Backfill Employees Only</t>
  </si>
  <si>
    <t xml:space="preserve"> (YYYY/MM/DD )</t>
  </si>
  <si>
    <t>E.g. tornado, severe flood, landslide</t>
  </si>
  <si>
    <t>Postal Code:</t>
  </si>
  <si>
    <t>Example</t>
  </si>
  <si>
    <t>OPSS 127 Rental Rate</t>
  </si>
  <si>
    <t>Description of Work/Project</t>
  </si>
  <si>
    <t>Document Reference Number</t>
  </si>
  <si>
    <t xml:space="preserve">Total including estimated future costs </t>
  </si>
  <si>
    <t>City/Town:</t>
  </si>
  <si>
    <t>Street Address:</t>
  </si>
  <si>
    <t>Employee Name (last name, first name)</t>
  </si>
  <si>
    <t>Start</t>
  </si>
  <si>
    <t>End</t>
  </si>
  <si>
    <t>Document Reference #</t>
  </si>
  <si>
    <t>Cap_Op_Flag</t>
  </si>
  <si>
    <t>Documentation</t>
  </si>
  <si>
    <t>Reference</t>
  </si>
  <si>
    <t>CostEst</t>
  </si>
  <si>
    <t>Estimated future costs</t>
  </si>
  <si>
    <t>Mailing Address</t>
  </si>
  <si>
    <t xml:space="preserve">Trillium Waste Removal Co. </t>
  </si>
  <si>
    <t xml:space="preserve">Construction Inc. </t>
  </si>
  <si>
    <t xml:space="preserve"> 57          -  </t>
  </si>
  <si>
    <t>Total Wage (TE) or BF)</t>
  </si>
  <si>
    <t>Rajakumar, Raj</t>
  </si>
  <si>
    <t>Operating weight      18 000 kg</t>
  </si>
  <si>
    <t xml:space="preserve">Load capacity 20 000 kg </t>
  </si>
  <si>
    <t>Power 150 kw</t>
  </si>
  <si>
    <t>Capital</t>
  </si>
  <si>
    <t>Operating</t>
  </si>
  <si>
    <t xml:space="preserve">Repairing the structural integrity of the Gunningsville bridge to pre-disaster condition </t>
  </si>
  <si>
    <t>Canadian Red Cross</t>
  </si>
  <si>
    <t xml:space="preserve">Electrician. Worked overtime to ensure essential services regained power. </t>
  </si>
  <si>
    <t>Langely Landscaping Inc.</t>
  </si>
  <si>
    <t>Verify that the hard copy of invoices match the claim form totals.</t>
  </si>
  <si>
    <t xml:space="preserve">Do not forget to individually verify the totals of each form. </t>
  </si>
  <si>
    <r>
      <t xml:space="preserve">Claimant: </t>
    </r>
    <r>
      <rPr>
        <sz val="11"/>
        <color theme="1"/>
        <rFont val="Arial"/>
        <family val="2"/>
        <scheme val="minor"/>
      </rPr>
      <t xml:space="preserve">Municipality of Gold Standard   </t>
    </r>
  </si>
  <si>
    <t>This Excel Workbook contains the following claim form components:</t>
  </si>
  <si>
    <t xml:space="preserve">Estimated Total Cost </t>
  </si>
  <si>
    <t xml:space="preserve">Total Wage (R) </t>
  </si>
  <si>
    <t>Total Wage (R)</t>
  </si>
  <si>
    <t>Work Start Date YYYY/MM/DD</t>
  </si>
  <si>
    <t>Work End Date YYYY/MM/DD</t>
  </si>
  <si>
    <r>
      <rPr>
        <b/>
        <sz val="11"/>
        <color theme="1"/>
        <rFont val="Arial"/>
        <family val="2"/>
      </rPr>
      <t>Municipal treasurer</t>
    </r>
    <r>
      <rPr>
        <sz val="11"/>
        <color theme="1"/>
        <rFont val="Arial"/>
        <family val="2"/>
      </rPr>
      <t>:</t>
    </r>
  </si>
  <si>
    <t>Eligible Cost (Excluding HST)</t>
  </si>
  <si>
    <t>Total: Eligible Cost + Unrecoverable HST</t>
  </si>
  <si>
    <t xml:space="preserve">Ontario Provincial Standards Specifications 127 rates </t>
  </si>
  <si>
    <t>OPSS 127 Rental Rates</t>
  </si>
  <si>
    <t>Equipment and Activity</t>
  </si>
  <si>
    <t>Hydraulic Excavator, Rubber Tired used for debris cleanup</t>
  </si>
  <si>
    <r>
      <rPr>
        <b/>
        <i/>
        <sz val="10"/>
        <rFont val="Arial"/>
        <family val="2"/>
      </rPr>
      <t xml:space="preserve">Invoice number 354: </t>
    </r>
    <r>
      <rPr>
        <i/>
        <sz val="10"/>
        <rFont val="Arial"/>
        <family val="2"/>
      </rPr>
      <t>Restoring the orthotropic beams of the Coverdale bridge located on Mountain rd.</t>
    </r>
  </si>
  <si>
    <r>
      <rPr>
        <b/>
        <i/>
        <sz val="10"/>
        <rFont val="Arial"/>
        <family val="2"/>
      </rPr>
      <t xml:space="preserve">Invoice number 697: </t>
    </r>
    <r>
      <rPr>
        <i/>
        <sz val="10"/>
        <rFont val="Arial"/>
        <family val="2"/>
      </rPr>
      <t>Removal of tree debris that was compiled at Mayoral Park at Main St. and Hwy 10</t>
    </r>
  </si>
  <si>
    <t>Front End Loader, Crawler Mounted to load asphalt and repair roads</t>
  </si>
  <si>
    <t>Backfilled as a financial analyst while the regular employee was diverted to landslide recovery work.</t>
  </si>
  <si>
    <t xml:space="preserve">Engineer  appraising and estimated future costs to repair the Brooksview bridge located at 123 example st.
</t>
  </si>
  <si>
    <t xml:space="preserve">Cement masonry laying the foundation to restore the Trillium library located at 555 imagination rd.
</t>
  </si>
  <si>
    <r>
      <rPr>
        <b/>
        <sz val="11"/>
        <rFont val="Arial"/>
        <family val="2"/>
      </rPr>
      <t>Temporary or Backfill Employees Onl</t>
    </r>
    <r>
      <rPr>
        <b/>
        <sz val="10"/>
        <rFont val="Arial"/>
        <family val="2"/>
      </rPr>
      <t>y</t>
    </r>
  </si>
  <si>
    <t xml:space="preserve">Sale of woodchips </t>
  </si>
  <si>
    <t>Sale of lumber</t>
  </si>
  <si>
    <t>John Deere, 190D W</t>
  </si>
  <si>
    <t>Massey Ferguson, MF7620</t>
  </si>
  <si>
    <t>Caterpillar, 973C/D</t>
  </si>
  <si>
    <t>Horsefloat,490</t>
  </si>
  <si>
    <t>Wheeled Tractor, Farm, Industrial, Four-Wheel Drive to transport road salt</t>
  </si>
  <si>
    <t xml:space="preserve">  Detailed damage report, photos, copy of municipality`s external service provider contract</t>
  </si>
  <si>
    <t>Engineers  inc.</t>
  </si>
  <si>
    <t>Debis removal unlimited.</t>
  </si>
  <si>
    <t>Contract, photo, post-disaster reports demonstrating hazards as a threat to public health and safety</t>
  </si>
  <si>
    <t>Removal of hazardous debris along the Callalily lake. Weather conditions prevented eary removal of debris.</t>
  </si>
  <si>
    <t>Rigid Gooseneck Float With Tractor to transfer equipment e.g.escavators</t>
  </si>
  <si>
    <t>Goods /Services Supplier</t>
  </si>
  <si>
    <t>Description of the work</t>
  </si>
  <si>
    <t>Cost(Excl HST)</t>
  </si>
  <si>
    <t>Unrecoverable</t>
  </si>
  <si>
    <t>Document Reference #(s)/pg #(s)2</t>
  </si>
  <si>
    <t>UnrecoverableNotCalc</t>
  </si>
  <si>
    <t>Cost(ExclHST)</t>
  </si>
  <si>
    <t xml:space="preserve">Unrecoverable HST   calculated at 1.76% </t>
  </si>
  <si>
    <t>Unrecoverable HST - NOT calculated at 1.76% (must be manually entered)</t>
  </si>
  <si>
    <r>
      <t xml:space="preserve">Unrecoverable HST - </t>
    </r>
    <r>
      <rPr>
        <b/>
        <sz val="11"/>
        <rFont val="Arial"/>
        <family val="2"/>
      </rPr>
      <t xml:space="preserve">NOT </t>
    </r>
    <r>
      <rPr>
        <b/>
        <sz val="10"/>
        <rFont val="Arial"/>
        <family val="2"/>
      </rPr>
      <t>calculated at 1.76% (must be manually entered)</t>
    </r>
  </si>
  <si>
    <t xml:space="preserve">Document Reference </t>
  </si>
  <si>
    <r>
      <rPr>
        <b/>
        <i/>
        <sz val="10"/>
        <rFont val="Arial"/>
        <family val="2"/>
      </rPr>
      <t xml:space="preserve">Invoice number 226: </t>
    </r>
    <r>
      <rPr>
        <i/>
        <sz val="10"/>
        <rFont val="Arial"/>
        <family val="2"/>
      </rPr>
      <t>Cost of volunteer meals for emergency responders located at:
•Ellington Rd
• Baker St</t>
    </r>
  </si>
  <si>
    <r>
      <t xml:space="preserve"> Invoice number 113: </t>
    </r>
    <r>
      <rPr>
        <i/>
        <sz val="10"/>
        <rFont val="Arial"/>
        <family val="2"/>
      </rPr>
      <t xml:space="preserve">Emergency tree-cutting and clearance of fallen tree limbs from roads and sidewalks at the following locations: 
• St George  St.
• Spadina Ave.
• Burkley Blvd. </t>
    </r>
    <r>
      <rPr>
        <b/>
        <i/>
        <sz val="10"/>
        <rFont val="Arial"/>
        <family val="2"/>
      </rPr>
      <t xml:space="preserve">
</t>
    </r>
  </si>
  <si>
    <t>***  The "Total Net Claim"  cell are eligible expenses already incurred and paid out, less the revenue, by the municipality as a result of a natural disaster***</t>
  </si>
  <si>
    <t>*** The "Total including estimated future costs" cell is the total of all costs incurred and paid out, less the revenue, and the total esimated future costs***</t>
  </si>
  <si>
    <t xml:space="preserve">  Instructions: </t>
  </si>
  <si>
    <t xml:space="preserve">Ontario Provincial Standards Specifications 127 Rates </t>
  </si>
  <si>
    <t xml:space="preserve">Unrecoverable HST  calculated at 1.76% </t>
  </si>
  <si>
    <t xml:space="preserve">Municipalities are advised to carefully read the Municipal Disaster Recovery Assistance guidelines for important information pertaining to eligibility and application requirements.
For step-by-step technical instructions regarding organizing documentation and inputting data into these claim forms, please refer to the Claim Forms User Guide.
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</si>
  <si>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capital costs</t>
    </r>
    <r>
      <rPr>
        <sz val="10"/>
        <rFont val="Arial"/>
        <family val="2"/>
      </rPr>
      <t xml:space="preserve">. These could include costs for procuring necessary external service providers or for incremental costs for goods needed to ensure that essential property and infrastructure are returned to pre-disaster condition. (e.g. building materials such as concrete or bricks)  Refer to </t>
    </r>
    <r>
      <rPr>
        <b/>
        <sz val="10"/>
        <rFont val="Arial"/>
        <family val="2"/>
      </rPr>
      <t xml:space="preserve">Chapter 4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</si>
  <si>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
This form documents </t>
    </r>
    <r>
      <rPr>
        <b/>
        <sz val="10"/>
        <color theme="1"/>
        <rFont val="Arial"/>
        <family val="2"/>
      </rPr>
      <t xml:space="preserve">operating costs </t>
    </r>
    <r>
      <rPr>
        <sz val="10"/>
        <color theme="1"/>
        <rFont val="Arial"/>
        <family val="2"/>
      </rPr>
      <t xml:space="preserve">incurred either for overtime of regular employees (R); the costs of temporary employees (TE) on contracts; or for backfilling (BF). 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</si>
  <si>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This form documents </t>
    </r>
    <r>
      <rPr>
        <b/>
        <sz val="10"/>
        <color theme="1"/>
        <rFont val="Arial"/>
        <family val="2"/>
      </rPr>
      <t>capital costs</t>
    </r>
    <r>
      <rPr>
        <sz val="10"/>
        <color theme="1"/>
        <rFont val="Arial"/>
        <family val="2"/>
      </rPr>
      <t xml:space="preserve"> incurred either for overtime of regular employees (R); the costs of temporary employees (TE) on contracts; or for backfilling (BF).  Refer to </t>
    </r>
    <r>
      <rPr>
        <b/>
        <sz val="10"/>
        <color theme="1"/>
        <rFont val="Arial"/>
        <family val="2"/>
      </rPr>
      <t>Chapter 5</t>
    </r>
    <r>
      <rPr>
        <sz val="10"/>
        <color theme="1"/>
        <rFont val="Arial"/>
        <family val="2"/>
      </rPr>
      <t xml:space="preserve"> of the Claim Forms User Guide for detailed instructions on how to complete this form. </t>
    </r>
  </si>
  <si>
    <r>
      <t xml:space="preserve">
This form documents the incremental costs incurred for the use of a claimant's equipment for </t>
    </r>
    <r>
      <rPr>
        <b/>
        <sz val="10"/>
        <color theme="1"/>
        <rFont val="Arial"/>
        <family val="2"/>
      </rPr>
      <t>operating costs</t>
    </r>
    <r>
      <rPr>
        <sz val="10"/>
        <color theme="1"/>
        <rFont val="Arial"/>
        <family val="2"/>
      </rPr>
      <t xml:space="preserve"> (e.g., fuel, emergency debris clean up).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color theme="1"/>
        <rFont val="Arial"/>
        <family val="2"/>
      </rPr>
      <t>40%</t>
    </r>
    <r>
      <rPr>
        <sz val="10"/>
        <color theme="1"/>
        <rFont val="Arial"/>
        <family val="2"/>
      </rPr>
      <t xml:space="preserve"> of the current rental rate in the province for heavy equipment. Refer to </t>
    </r>
    <r>
      <rPr>
        <b/>
        <sz val="10"/>
        <color theme="1"/>
        <rFont val="Arial"/>
        <family val="2"/>
      </rPr>
      <t>Chapter 6</t>
    </r>
    <r>
      <rPr>
        <sz val="10"/>
        <color theme="1"/>
        <rFont val="Arial"/>
        <family val="2"/>
      </rPr>
      <t xml:space="preserve"> of the Claim Forms User Guide                                                                                                                                                                                                                                                                                                                                                                                                             
for detailed instructions on how to complete this form.
</t>
    </r>
  </si>
  <si>
    <r>
      <t xml:space="preserve">This form documents the incremental costs incurred for the use of a claimant's equipment for </t>
    </r>
    <r>
      <rPr>
        <b/>
        <sz val="10"/>
        <rFont val="Arial"/>
        <family val="2"/>
      </rPr>
      <t xml:space="preserve">capital costs </t>
    </r>
    <r>
      <rPr>
        <sz val="10"/>
        <rFont val="Arial"/>
        <family val="2"/>
      </rPr>
      <t xml:space="preserve">(e.g. lubricant, mileage).                                                                                                                                                                                                                                                                                                                                                                                 Municipal owned equipment costs are claimed at </t>
    </r>
    <r>
      <rPr>
        <b/>
        <sz val="10"/>
        <rFont val="Arial"/>
        <family val="2"/>
      </rPr>
      <t xml:space="preserve">40% </t>
    </r>
    <r>
      <rPr>
        <sz val="10"/>
        <rFont val="Arial"/>
        <family val="2"/>
      </rPr>
      <t xml:space="preserve">of the current rental rate in the province for heavy equipment. 
Refer to </t>
    </r>
    <r>
      <rPr>
        <b/>
        <sz val="10"/>
        <rFont val="Arial"/>
        <family val="2"/>
      </rPr>
      <t xml:space="preserve">Chapter 6 </t>
    </r>
    <r>
      <rPr>
        <sz val="10"/>
        <rFont val="Arial"/>
        <family val="2"/>
      </rPr>
      <t xml:space="preserve">of the Claim Forms User Guide for detailed instructions on how to complete this form.    </t>
    </r>
  </si>
  <si>
    <r>
      <t xml:space="preserve">This form documents revenue received as a result of a natural disaster. Examples may include revenue from sale of woodchips or lumber.  Revenue reported must be </t>
    </r>
    <r>
      <rPr>
        <b/>
        <sz val="10"/>
        <rFont val="Arial"/>
        <family val="2"/>
      </rPr>
      <t>deducted</t>
    </r>
    <r>
      <rPr>
        <sz val="10"/>
        <rFont val="Arial"/>
        <family val="2"/>
      </rPr>
      <t xml:space="preserve"> from the final claim amount.   Refer to</t>
    </r>
    <r>
      <rPr>
        <b/>
        <sz val="10"/>
        <rFont val="Arial"/>
        <family val="2"/>
      </rPr>
      <t xml:space="preserve"> Chapter 7 </t>
    </r>
    <r>
      <rPr>
        <sz val="10"/>
        <rFont val="Arial"/>
        <family val="2"/>
      </rPr>
      <t>of the Claim Forms User Guide for detailed instructions on how to complete this form.</t>
    </r>
  </si>
  <si>
    <r>
      <t xml:space="preserve">This form automatically calculates the </t>
    </r>
    <r>
      <rPr>
        <b/>
        <sz val="10"/>
        <rFont val="Arial"/>
        <family val="2"/>
      </rPr>
      <t>total expenses</t>
    </r>
    <r>
      <rPr>
        <sz val="10"/>
        <rFont val="Arial"/>
        <family val="2"/>
      </rPr>
      <t xml:space="preserve"> claimed in other forms, less the revenue. This form auto-calculates estimated future costs separately from the total net claim and then provides a total of net costs, estimated costs and subtracts the revenue. Refer to </t>
    </r>
    <r>
      <rPr>
        <b/>
        <sz val="10"/>
        <rFont val="Arial"/>
        <family val="2"/>
      </rPr>
      <t>Chapter 8</t>
    </r>
    <r>
      <rPr>
        <sz val="10"/>
        <rFont val="Arial"/>
        <family val="2"/>
      </rPr>
      <t xml:space="preserve"> of the Claim Forms User Guide for further clarity.</t>
    </r>
  </si>
  <si>
    <r>
      <t xml:space="preserve">Purpose:  </t>
    </r>
    <r>
      <rPr>
        <sz val="10"/>
        <color theme="1"/>
        <rFont val="Arial"/>
        <family val="2"/>
        <scheme val="minor"/>
      </rPr>
      <t xml:space="preserve">This form is used to document future estimated costs. (e.g. essential infrastructure repairs such as a bridge) Please refer to </t>
    </r>
    <r>
      <rPr>
        <b/>
        <sz val="10"/>
        <color theme="1"/>
        <rFont val="Arial"/>
        <family val="2"/>
        <scheme val="minor"/>
      </rPr>
      <t xml:space="preserve">Chapter 9 </t>
    </r>
    <r>
      <rPr>
        <sz val="10"/>
        <color theme="1"/>
        <rFont val="Arial"/>
        <family val="2"/>
        <scheme val="minor"/>
      </rPr>
      <t>of the Claim Forms User Guide for detailed instruction on how to complete this form.</t>
    </r>
  </si>
  <si>
    <r>
      <t>This</t>
    </r>
    <r>
      <rPr>
        <b/>
        <sz val="11"/>
        <rFont val="Arial"/>
        <family val="2"/>
      </rPr>
      <t xml:space="preserve"> Attestation form </t>
    </r>
    <r>
      <rPr>
        <sz val="11"/>
        <rFont val="Arial"/>
        <family val="2"/>
      </rPr>
      <t xml:space="preserve">must be completed, printed and hand-signed by the municipal treasurer or the person who has been delegated  authority. Refer to </t>
    </r>
    <r>
      <rPr>
        <b/>
        <sz val="11"/>
        <rFont val="Arial"/>
        <family val="2"/>
      </rPr>
      <t>Chapter 10</t>
    </r>
    <r>
      <rPr>
        <sz val="11"/>
        <rFont val="Arial"/>
        <family val="2"/>
      </rPr>
      <t xml:space="preserve"> of the Claim Forms User Guide for detailed instructions on filling out this form, and refer to </t>
    </r>
    <r>
      <rPr>
        <b/>
        <sz val="11"/>
        <rFont val="Arial"/>
        <family val="2"/>
      </rPr>
      <t xml:space="preserve">Chapter 12 </t>
    </r>
    <r>
      <rPr>
        <sz val="11"/>
        <rFont val="Arial"/>
        <family val="2"/>
      </rPr>
      <t>for claim form submission instructions.</t>
    </r>
  </si>
  <si>
    <t>Goods and Services Operating Costs</t>
  </si>
  <si>
    <t>Municipal Disaster Recovery Assistance Program</t>
  </si>
  <si>
    <t>Goods and Services Capital Costs</t>
  </si>
  <si>
    <t>Employee  Capital Costs</t>
  </si>
  <si>
    <t>Employee  Operating Costs</t>
  </si>
  <si>
    <t>Claimant-Owned Equipment Capital Costs</t>
  </si>
  <si>
    <t>Claimant-Owned Equipment Operating Costs</t>
  </si>
  <si>
    <t>Future Estimated Costs</t>
  </si>
  <si>
    <t>Lumber "R" Us</t>
  </si>
  <si>
    <t xml:space="preserve"> Regular (R) Only </t>
  </si>
  <si>
    <r>
      <t xml:space="preserve">This form is to be used to document incremental costs incurred for purchases of goods or services for </t>
    </r>
    <r>
      <rPr>
        <b/>
        <sz val="10"/>
        <rFont val="Arial"/>
        <family val="2"/>
      </rPr>
      <t>operating costs</t>
    </r>
    <r>
      <rPr>
        <sz val="10"/>
        <rFont val="Arial"/>
        <family val="2"/>
      </rPr>
      <t xml:space="preserve">. These could include costs for procuring necessary external service providers or for incremental costs of goods necessary to address the immediate post-disaster needs of the affected community.  (e.g. sandbagging, setting up emergency shelter, procuring snowplough services) Refer to </t>
    </r>
    <r>
      <rPr>
        <b/>
        <sz val="10"/>
        <rFont val="Arial"/>
        <family val="2"/>
      </rPr>
      <t>Chapter 4</t>
    </r>
    <r>
      <rPr>
        <sz val="10"/>
        <rFont val="Arial"/>
        <family val="2"/>
      </rPr>
      <t xml:space="preserve"> of the Claim Forms User Guide for detailed instructions on how to complete this form.</t>
    </r>
  </si>
  <si>
    <t>Santa's Sleigh</t>
  </si>
  <si>
    <t>Package Delivery</t>
  </si>
  <si>
    <t>A1</t>
  </si>
  <si>
    <t>Santa's Sleigh - Capital</t>
  </si>
  <si>
    <t>Rebuild sleigh ski</t>
  </si>
  <si>
    <t>A2</t>
  </si>
  <si>
    <t>San, Ta</t>
  </si>
  <si>
    <t>A3</t>
  </si>
  <si>
    <t>Donner Reindeer</t>
  </si>
  <si>
    <t>Pulled Sleigh ski into place</t>
  </si>
  <si>
    <t>A4</t>
  </si>
  <si>
    <t>PresentTron 5000</t>
  </si>
  <si>
    <t>John Deere</t>
  </si>
  <si>
    <t>A5</t>
  </si>
  <si>
    <t>A6</t>
  </si>
  <si>
    <t>Revenue derived from sleigh</t>
  </si>
  <si>
    <t>Endorsement deal</t>
  </si>
  <si>
    <t>A7</t>
  </si>
  <si>
    <t>Elves</t>
  </si>
  <si>
    <t>2017 Sleigh Grease</t>
  </si>
  <si>
    <t>None??</t>
  </si>
  <si>
    <t>A99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</si>
</sst>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$&quot;* #,##0.00_-;\-&quot;$&quot;* #,##0.00_-;_-&quot;$&quot;* &quot;-&quot;??_-;_-@_-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  <numFmt numFmtId="168" formatCode="[$-409]mmmm\ d\,\ yyyy;@"/>
    <numFmt numFmtId="169" formatCode="_(* #,##0_);_(* \(#,##0\);_(* &quot;-&quot;??_);_(@_)"/>
    <numFmt numFmtId="170" formatCode="m/d/yyyy"/>
    <numFmt numFmtId="171" formatCode="yyyy\-mmm\-dd"/>
  </numFmts>
  <fonts count="40" x14ac:knownFonts="1">
    <font>
      <sz val="11"/>
      <color theme="1"/>
      <name val="Arial"/>
      <family val="2"/>
      <scheme val="minor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b/>
      <sz val="10"/>
      <color theme="1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rgb="FF00000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i/>
      <sz val="10"/>
      <color rgb="FFFF0000"/>
      <name val="Arial"/>
      <family val="2"/>
    </font>
    <font>
      <sz val="10"/>
      <color theme="0"/>
      <name val="Arial"/>
      <family val="2"/>
      <scheme val="minor"/>
    </font>
    <font>
      <b/>
      <sz val="16"/>
      <name val="Arial"/>
      <family val="2"/>
    </font>
    <font>
      <b/>
      <sz val="12"/>
      <color theme="1"/>
      <name val="Arial"/>
      <family val="2"/>
      <scheme val="minor"/>
    </font>
    <font>
      <sz val="10"/>
      <color theme="9" tint="0.39997558519241921"/>
      <name val="Arial"/>
      <family val="2"/>
    </font>
    <font>
      <sz val="12"/>
      <color theme="1"/>
      <name val="Arial"/>
      <family val="2"/>
    </font>
    <font>
      <u/>
      <sz val="11"/>
      <color theme="10"/>
      <name val="Arial"/>
      <family val="2"/>
      <scheme val="minor"/>
    </font>
    <font>
      <sz val="14"/>
      <color theme="1"/>
      <name val="Arial"/>
      <family val="2"/>
    </font>
    <font>
      <b/>
      <u/>
      <sz val="14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</font>
    <font>
      <b/>
      <sz val="14"/>
      <color theme="1"/>
      <name val="Arial"/>
      <family val="2"/>
    </font>
    <font>
      <sz val="1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20"/>
      <color theme="1"/>
      <name val="Arial"/>
      <family val="2"/>
    </font>
    <font>
      <b/>
      <sz val="2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name val="Arial"/>
      <family val="2"/>
    </font>
    <font>
      <b/>
      <sz val="14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5FCB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rgb="FF000000"/>
      </patternFill>
    </fill>
    <fill>
      <patternFill patternType="solid">
        <fgColor rgb="FFF5FCB6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FFFEDA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166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7" fillId="0" borderId="0" applyNumberFormat="0" applyFill="0" applyBorder="0" applyAlignment="0" applyProtection="0"/>
  </cellStyleXfs>
  <cellXfs count="440">
    <xf numFmtId="0" fontId="0" fillId="0" borderId="0" xfId="0"/>
    <xf numFmtId="0" fontId="1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17" fontId="4" fillId="0" borderId="0" xfId="0" applyNumberFormat="1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167" fontId="4" fillId="0" borderId="0" xfId="0" applyNumberFormat="1" applyFont="1" applyFill="1" applyBorder="1" applyAlignment="1" applyProtection="1">
      <alignment horizontal="center" vertical="center" wrapText="1"/>
    </xf>
    <xf numFmtId="0" fontId="14" fillId="0" borderId="0" xfId="0" applyFont="1" applyProtection="1"/>
    <xf numFmtId="0" fontId="16" fillId="0" borderId="0" xfId="0" applyFont="1" applyProtection="1"/>
    <xf numFmtId="0" fontId="15" fillId="0" borderId="0" xfId="0" applyFont="1" applyProtection="1"/>
    <xf numFmtId="0" fontId="4" fillId="3" borderId="0" xfId="0" applyFont="1" applyFill="1" applyAlignment="1" applyProtection="1">
      <alignment horizontal="left" vertical="top"/>
    </xf>
    <xf numFmtId="0" fontId="3" fillId="0" borderId="0" xfId="0" applyFont="1" applyProtection="1"/>
    <xf numFmtId="0" fontId="0" fillId="0" borderId="0" xfId="0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0" fillId="0" borderId="0" xfId="0" applyNumberFormat="1" applyAlignment="1" applyProtection="1">
      <alignment horizontal="center" vertical="center" wrapText="1"/>
    </xf>
    <xf numFmtId="0" fontId="14" fillId="3" borderId="0" xfId="0" applyFont="1" applyFill="1" applyAlignment="1" applyProtection="1">
      <alignment horizontal="left" vertical="top"/>
    </xf>
    <xf numFmtId="0" fontId="14" fillId="0" borderId="0" xfId="0" applyFont="1" applyFill="1" applyProtection="1"/>
    <xf numFmtId="0" fontId="16" fillId="0" borderId="0" xfId="0" applyFont="1" applyFill="1" applyProtection="1"/>
    <xf numFmtId="0" fontId="16" fillId="0" borderId="0" xfId="0" applyFont="1" applyFill="1" applyAlignment="1" applyProtection="1"/>
    <xf numFmtId="2" fontId="2" fillId="0" borderId="21" xfId="0" applyNumberFormat="1" applyFont="1" applyBorder="1" applyAlignment="1" applyProtection="1">
      <alignment horizontal="center" vertical="center" wrapText="1"/>
    </xf>
    <xf numFmtId="165" fontId="2" fillId="0" borderId="21" xfId="3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0" fontId="2" fillId="4" borderId="21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8" fillId="3" borderId="0" xfId="0" applyFont="1" applyFill="1" applyBorder="1" applyAlignment="1">
      <alignment horizontal="left" vertical="center"/>
    </xf>
    <xf numFmtId="44" fontId="5" fillId="3" borderId="0" xfId="6" applyFont="1" applyFill="1" applyBorder="1" applyAlignment="1">
      <alignment horizontal="left" vertical="center"/>
    </xf>
    <xf numFmtId="0" fontId="2" fillId="0" borderId="0" xfId="0" applyFont="1" applyAlignment="1" applyProtection="1">
      <alignment horizontal="center" vertical="center" wrapText="1"/>
    </xf>
    <xf numFmtId="0" fontId="2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left" vertical="center" indent="2"/>
    </xf>
    <xf numFmtId="0" fontId="4" fillId="0" borderId="0" xfId="0" quotePrefix="1" applyFont="1" applyBorder="1" applyAlignment="1" applyProtection="1">
      <alignment wrapText="1"/>
    </xf>
    <xf numFmtId="0" fontId="4" fillId="0" borderId="0" xfId="0" applyFont="1" applyBorder="1" applyAlignment="1" applyProtection="1">
      <alignment wrapText="1"/>
    </xf>
    <xf numFmtId="0" fontId="5" fillId="0" borderId="0" xfId="0" applyFont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left" wrapText="1"/>
    </xf>
    <xf numFmtId="0" fontId="5" fillId="0" borderId="0" xfId="0" applyNumberFormat="1" applyFont="1" applyAlignment="1" applyProtection="1">
      <alignment horizontal="center" vertical="center" wrapText="1"/>
    </xf>
    <xf numFmtId="14" fontId="4" fillId="0" borderId="0" xfId="0" applyNumberFormat="1" applyFont="1" applyFill="1" applyBorder="1" applyAlignment="1" applyProtection="1">
      <alignment horizontal="left" vertical="center" wrapText="1"/>
    </xf>
    <xf numFmtId="0" fontId="5" fillId="0" borderId="0" xfId="0" applyFont="1" applyAlignment="1" applyProtection="1">
      <alignment horizontal="left" vertical="center" wrapText="1"/>
    </xf>
    <xf numFmtId="0" fontId="2" fillId="0" borderId="27" xfId="0" applyFont="1" applyFill="1" applyBorder="1" applyAlignment="1" applyProtection="1">
      <alignment horizontal="right" vertical="center" wrapText="1"/>
    </xf>
    <xf numFmtId="37" fontId="4" fillId="0" borderId="28" xfId="0" applyNumberFormat="1" applyFont="1" applyFill="1" applyBorder="1" applyAlignment="1" applyProtection="1">
      <alignment horizontal="right" vertical="center" wrapText="1"/>
    </xf>
    <xf numFmtId="0" fontId="13" fillId="0" borderId="0" xfId="0" applyFont="1" applyAlignment="1" applyProtection="1">
      <alignment vertical="center"/>
    </xf>
    <xf numFmtId="0" fontId="4" fillId="0" borderId="0" xfId="0" applyFont="1" applyAlignment="1" applyProtection="1">
      <alignment horizontal="left"/>
    </xf>
    <xf numFmtId="0" fontId="7" fillId="0" borderId="0" xfId="0" applyFont="1" applyBorder="1" applyAlignment="1" applyProtection="1">
      <alignment horizontal="left"/>
    </xf>
    <xf numFmtId="0" fontId="21" fillId="0" borderId="0" xfId="0" applyFont="1" applyBorder="1" applyAlignment="1" applyProtection="1">
      <alignment horizontal="left" vertical="center" wrapText="1"/>
    </xf>
    <xf numFmtId="14" fontId="4" fillId="3" borderId="0" xfId="0" applyNumberFormat="1" applyFont="1" applyFill="1" applyBorder="1" applyAlignment="1">
      <alignment horizontal="center" vertical="center" wrapText="1"/>
    </xf>
    <xf numFmtId="4" fontId="4" fillId="0" borderId="0" xfId="0" applyNumberFormat="1" applyFont="1" applyBorder="1" applyAlignment="1" applyProtection="1">
      <alignment wrapText="1"/>
    </xf>
    <xf numFmtId="1" fontId="5" fillId="0" borderId="0" xfId="0" applyNumberFormat="1" applyFont="1" applyAlignment="1" applyProtection="1">
      <alignment horizontal="center" vertical="center" wrapText="1"/>
    </xf>
    <xf numFmtId="0" fontId="20" fillId="0" borderId="0" xfId="0" applyFont="1" applyAlignment="1" applyProtection="1">
      <alignment horizontal="center" vertical="center" wrapText="1"/>
    </xf>
    <xf numFmtId="169" fontId="5" fillId="0" borderId="0" xfId="1" applyNumberFormat="1" applyFont="1" applyAlignment="1" applyProtection="1">
      <alignment horizontal="center" vertical="center" wrapText="1"/>
    </xf>
    <xf numFmtId="4" fontId="5" fillId="0" borderId="0" xfId="0" applyNumberFormat="1" applyFont="1" applyAlignment="1" applyProtection="1">
      <alignment horizontal="center" vertical="center" wrapText="1"/>
    </xf>
    <xf numFmtId="0" fontId="11" fillId="0" borderId="0" xfId="0" applyFont="1"/>
    <xf numFmtId="0" fontId="22" fillId="0" borderId="0" xfId="0" applyFont="1" applyAlignment="1" applyProtection="1">
      <alignment horizontal="center" vertical="center" wrapText="1"/>
    </xf>
    <xf numFmtId="0" fontId="4" fillId="0" borderId="0" xfId="0" quotePrefix="1" applyFont="1" applyBorder="1" applyAlignment="1" applyProtection="1">
      <alignment horizontal="left" wrapText="1"/>
    </xf>
    <xf numFmtId="0" fontId="20" fillId="0" borderId="0" xfId="0" quotePrefix="1" applyFont="1" applyBorder="1" applyAlignment="1" applyProtection="1">
      <alignment wrapText="1"/>
    </xf>
    <xf numFmtId="14" fontId="5" fillId="0" borderId="0" xfId="0" applyNumberFormat="1" applyFont="1" applyAlignment="1" applyProtection="1">
      <alignment horizontal="center" vertical="center" wrapText="1"/>
    </xf>
    <xf numFmtId="0" fontId="21" fillId="0" borderId="0" xfId="0" applyFont="1" applyAlignment="1" applyProtection="1">
      <alignment horizontal="left" vertical="center" wrapText="1"/>
    </xf>
    <xf numFmtId="165" fontId="5" fillId="0" borderId="0" xfId="3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wrapText="1"/>
    </xf>
    <xf numFmtId="0" fontId="5" fillId="0" borderId="0" xfId="0" applyFont="1" applyAlignment="1" applyProtection="1">
      <alignment horizontal="center" vertical="top" wrapText="1"/>
    </xf>
    <xf numFmtId="0" fontId="23" fillId="0" borderId="0" xfId="0" applyFont="1" applyAlignment="1" applyProtection="1">
      <alignment horizontal="center" vertical="center" wrapText="1"/>
    </xf>
    <xf numFmtId="0" fontId="24" fillId="0" borderId="0" xfId="0" applyFont="1" applyAlignment="1" applyProtection="1">
      <alignment horizontal="left" vertical="center" wrapText="1"/>
    </xf>
    <xf numFmtId="0" fontId="25" fillId="3" borderId="0" xfId="0" applyFont="1" applyFill="1" applyAlignment="1" applyProtection="1">
      <alignment horizontal="center" vertical="center" wrapText="1"/>
    </xf>
    <xf numFmtId="0" fontId="22" fillId="3" borderId="0" xfId="0" applyFont="1" applyFill="1" applyAlignment="1" applyProtection="1">
      <alignment horizontal="center" vertical="center" wrapText="1"/>
    </xf>
    <xf numFmtId="0" fontId="24" fillId="7" borderId="0" xfId="0" applyFont="1" applyFill="1" applyAlignment="1" applyProtection="1">
      <alignment horizontal="center" vertical="center" wrapText="1"/>
    </xf>
    <xf numFmtId="0" fontId="8" fillId="3" borderId="29" xfId="0" applyFont="1" applyFill="1" applyBorder="1" applyAlignment="1">
      <alignment horizontal="left" vertical="center"/>
    </xf>
    <xf numFmtId="0" fontId="6" fillId="0" borderId="0" xfId="0" applyFont="1" applyBorder="1" applyAlignment="1" applyProtection="1">
      <alignment horizontal="left"/>
    </xf>
    <xf numFmtId="0" fontId="0" fillId="0" borderId="0" xfId="0"/>
    <xf numFmtId="165" fontId="4" fillId="0" borderId="7" xfId="3" applyFont="1" applyFill="1" applyBorder="1" applyAlignment="1" applyProtection="1">
      <alignment horizontal="right" vertical="center" wrapText="1"/>
    </xf>
    <xf numFmtId="0" fontId="2" fillId="0" borderId="0" xfId="0" applyFont="1" applyAlignment="1" applyProtection="1">
      <alignment horizontal="left" vertical="top"/>
    </xf>
    <xf numFmtId="0" fontId="19" fillId="3" borderId="0" xfId="0" applyFont="1" applyFill="1" applyBorder="1" applyAlignment="1">
      <alignment horizontal="left" vertical="center"/>
    </xf>
    <xf numFmtId="14" fontId="2" fillId="8" borderId="14" xfId="0" applyNumberFormat="1" applyFont="1" applyFill="1" applyBorder="1" applyAlignment="1" applyProtection="1">
      <alignment horizontal="center" vertical="center" wrapText="1"/>
    </xf>
    <xf numFmtId="14" fontId="2" fillId="8" borderId="2" xfId="0" applyNumberFormat="1" applyFont="1" applyFill="1" applyBorder="1" applyAlignment="1" applyProtection="1">
      <alignment horizontal="center" vertical="center" wrapText="1"/>
    </xf>
    <xf numFmtId="0" fontId="2" fillId="8" borderId="3" xfId="0" applyFont="1" applyFill="1" applyBorder="1" applyAlignment="1" applyProtection="1">
      <alignment horizontal="center" vertical="center" wrapText="1"/>
    </xf>
    <xf numFmtId="4" fontId="2" fillId="8" borderId="3" xfId="0" applyNumberFormat="1" applyFont="1" applyFill="1" applyBorder="1" applyAlignment="1" applyProtection="1">
      <alignment horizontal="center" vertical="center" wrapText="1"/>
    </xf>
    <xf numFmtId="4" fontId="2" fillId="8" borderId="4" xfId="0" applyNumberFormat="1" applyFont="1" applyFill="1" applyBorder="1" applyAlignment="1" applyProtection="1">
      <alignment horizontal="center" vertical="center" wrapText="1"/>
    </xf>
    <xf numFmtId="0" fontId="2" fillId="8" borderId="4" xfId="0" applyFont="1" applyFill="1" applyBorder="1" applyAlignment="1" applyProtection="1">
      <alignment horizontal="center" vertical="center" wrapText="1"/>
    </xf>
    <xf numFmtId="0" fontId="14" fillId="3" borderId="29" xfId="0" applyFont="1" applyFill="1" applyBorder="1" applyAlignment="1" applyProtection="1">
      <alignment horizontal="left" vertical="center" wrapText="1"/>
      <protection locked="0"/>
    </xf>
    <xf numFmtId="165" fontId="14" fillId="3" borderId="29" xfId="3" applyFont="1" applyFill="1" applyBorder="1" applyAlignment="1" applyProtection="1">
      <alignment horizontal="right" vertical="center" wrapText="1"/>
    </xf>
    <xf numFmtId="0" fontId="15" fillId="3" borderId="29" xfId="0" applyFont="1" applyFill="1" applyBorder="1" applyAlignment="1">
      <alignment horizontal="center" vertical="center" wrapText="1"/>
    </xf>
    <xf numFmtId="0" fontId="4" fillId="10" borderId="29" xfId="0" applyFont="1" applyFill="1" applyBorder="1" applyAlignment="1" applyProtection="1">
      <alignment horizontal="left" vertical="center" wrapText="1"/>
      <protection locked="0"/>
    </xf>
    <xf numFmtId="0" fontId="5" fillId="10" borderId="29" xfId="0" applyFont="1" applyFill="1" applyBorder="1" applyAlignment="1">
      <alignment horizontal="left" vertical="center"/>
    </xf>
    <xf numFmtId="165" fontId="5" fillId="10" borderId="29" xfId="3" applyFont="1" applyFill="1" applyBorder="1" applyAlignment="1">
      <alignment horizontal="right" vertical="center"/>
    </xf>
    <xf numFmtId="0" fontId="8" fillId="8" borderId="29" xfId="0" applyFont="1" applyFill="1" applyBorder="1" applyAlignment="1">
      <alignment horizontal="center"/>
    </xf>
    <xf numFmtId="4" fontId="2" fillId="8" borderId="35" xfId="0" applyNumberFormat="1" applyFont="1" applyFill="1" applyBorder="1" applyAlignment="1">
      <alignment horizontal="center" vertical="center" wrapText="1"/>
    </xf>
    <xf numFmtId="14" fontId="2" fillId="8" borderId="3" xfId="0" applyNumberFormat="1" applyFont="1" applyFill="1" applyBorder="1" applyAlignment="1" applyProtection="1">
      <alignment horizontal="center" vertical="center" wrapText="1"/>
    </xf>
    <xf numFmtId="2" fontId="2" fillId="8" borderId="19" xfId="0" applyNumberFormat="1" applyFont="1" applyFill="1" applyBorder="1" applyAlignment="1" applyProtection="1">
      <alignment horizontal="center" vertical="center" wrapText="1"/>
    </xf>
    <xf numFmtId="165" fontId="2" fillId="8" borderId="3" xfId="3" applyFont="1" applyFill="1" applyBorder="1" applyAlignment="1" applyProtection="1">
      <alignment horizontal="center" vertical="center" wrapText="1"/>
    </xf>
    <xf numFmtId="165" fontId="2" fillId="8" borderId="20" xfId="3" applyFont="1" applyFill="1" applyBorder="1" applyAlignment="1" applyProtection="1">
      <alignment horizontal="center" vertical="center" wrapText="1"/>
    </xf>
    <xf numFmtId="0" fontId="2" fillId="8" borderId="14" xfId="0" applyFont="1" applyFill="1" applyBorder="1" applyAlignment="1" applyProtection="1">
      <alignment horizontal="center" vertical="center" wrapText="1"/>
    </xf>
    <xf numFmtId="167" fontId="4" fillId="11" borderId="4" xfId="0" applyNumberFormat="1" applyFont="1" applyFill="1" applyBorder="1" applyAlignment="1" applyProtection="1">
      <alignment horizontal="right" vertical="center" wrapText="1"/>
    </xf>
    <xf numFmtId="0" fontId="2" fillId="8" borderId="19" xfId="0" applyFont="1" applyFill="1" applyBorder="1" applyAlignment="1" applyProtection="1">
      <alignment horizontal="center" vertical="center" wrapText="1"/>
    </xf>
    <xf numFmtId="0" fontId="2" fillId="8" borderId="20" xfId="0" applyFont="1" applyFill="1" applyBorder="1" applyAlignment="1" applyProtection="1">
      <alignment horizontal="center" vertical="center" wrapText="1"/>
    </xf>
    <xf numFmtId="0" fontId="2" fillId="8" borderId="1" xfId="0" applyNumberFormat="1" applyFont="1" applyFill="1" applyBorder="1" applyAlignment="1" applyProtection="1">
      <alignment horizontal="center" vertical="center" wrapText="1"/>
    </xf>
    <xf numFmtId="0" fontId="4" fillId="8" borderId="4" xfId="0" applyFont="1" applyFill="1" applyBorder="1" applyAlignment="1" applyProtection="1">
      <alignment horizontal="center" vertical="center" wrapText="1"/>
    </xf>
    <xf numFmtId="0" fontId="26" fillId="0" borderId="0" xfId="0" applyFont="1" applyAlignment="1" applyProtection="1">
      <alignment horizontal="left" vertical="center"/>
    </xf>
    <xf numFmtId="0" fontId="5" fillId="0" borderId="0" xfId="0" applyFont="1" applyFill="1" applyAlignment="1" applyProtection="1">
      <alignment horizontal="center" vertical="center" wrapText="1"/>
    </xf>
    <xf numFmtId="0" fontId="4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vertical="center" wrapText="1"/>
    </xf>
    <xf numFmtId="0" fontId="0" fillId="0" borderId="0" xfId="7" quotePrefix="1" applyFont="1" applyFill="1" applyBorder="1" applyAlignment="1">
      <alignment horizontal="center" vertical="center"/>
    </xf>
    <xf numFmtId="0" fontId="5" fillId="0" borderId="0" xfId="0" applyFont="1" applyFill="1" applyBorder="1" applyAlignment="1" applyProtection="1">
      <alignment horizontal="center" vertical="center" wrapText="1"/>
    </xf>
    <xf numFmtId="165" fontId="4" fillId="0" borderId="29" xfId="3" applyFont="1" applyFill="1" applyBorder="1" applyAlignment="1" applyProtection="1">
      <alignment horizontal="right" vertical="center" wrapText="1"/>
      <protection locked="0"/>
    </xf>
    <xf numFmtId="165" fontId="4" fillId="0" borderId="7" xfId="3" applyFont="1" applyFill="1" applyBorder="1" applyAlignment="1" applyProtection="1">
      <alignment horizontal="right" vertical="center" wrapText="1"/>
      <protection locked="0"/>
    </xf>
    <xf numFmtId="165" fontId="4" fillId="0" borderId="7" xfId="3" applyNumberFormat="1" applyFont="1" applyFill="1" applyBorder="1" applyAlignment="1" applyProtection="1">
      <alignment horizontal="right" vertical="center" wrapText="1"/>
    </xf>
    <xf numFmtId="0" fontId="1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14" fillId="5" borderId="5" xfId="0" applyNumberFormat="1" applyFont="1" applyFill="1" applyBorder="1" applyAlignment="1" applyProtection="1">
      <alignment horizontal="left" vertical="center" wrapText="1"/>
      <protection locked="0"/>
    </xf>
    <xf numFmtId="0" fontId="14" fillId="5" borderId="7" xfId="0" applyNumberFormat="1" applyFont="1" applyFill="1" applyBorder="1" applyAlignment="1" applyProtection="1">
      <alignment horizontal="center" vertical="center" wrapText="1"/>
      <protection locked="0"/>
    </xf>
    <xf numFmtId="165" fontId="30" fillId="0" borderId="8" xfId="3" applyFont="1" applyFill="1" applyBorder="1" applyAlignment="1" applyProtection="1">
      <alignment horizontal="right" vertical="center" wrapText="1"/>
    </xf>
    <xf numFmtId="165" fontId="17" fillId="0" borderId="8" xfId="3" applyFont="1" applyFill="1" applyBorder="1" applyAlignment="1" applyProtection="1">
      <alignment horizontal="left" vertical="center" wrapText="1"/>
    </xf>
    <xf numFmtId="165" fontId="17" fillId="0" borderId="8" xfId="3" applyFont="1" applyFill="1" applyBorder="1" applyAlignment="1" applyProtection="1">
      <alignment horizontal="right" vertical="center" wrapText="1"/>
    </xf>
    <xf numFmtId="0" fontId="17" fillId="0" borderId="27" xfId="0" applyFont="1" applyFill="1" applyBorder="1" applyAlignment="1" applyProtection="1">
      <alignment horizontal="right" vertical="center" wrapText="1"/>
    </xf>
    <xf numFmtId="37" fontId="6" fillId="0" borderId="28" xfId="0" applyNumberFormat="1" applyFont="1" applyFill="1" applyBorder="1" applyAlignment="1" applyProtection="1">
      <alignment horizontal="right" vertical="center" wrapText="1"/>
    </xf>
    <xf numFmtId="0" fontId="18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center" vertical="center" wrapText="1"/>
    </xf>
    <xf numFmtId="0" fontId="16" fillId="0" borderId="0" xfId="0" applyFont="1" applyAlignment="1" applyProtection="1">
      <alignment horizontal="right" vertical="center" wrapText="1"/>
    </xf>
    <xf numFmtId="0" fontId="1" fillId="0" borderId="0" xfId="0" applyFont="1" applyFill="1" applyAlignment="1" applyProtection="1"/>
    <xf numFmtId="0" fontId="1" fillId="0" borderId="0" xfId="0" applyFont="1" applyFill="1" applyAlignment="1" applyProtection="1">
      <alignment horizontal="left"/>
    </xf>
    <xf numFmtId="168" fontId="1" fillId="3" borderId="0" xfId="0" applyNumberFormat="1" applyFont="1" applyFill="1" applyAlignment="1" applyProtection="1"/>
    <xf numFmtId="0" fontId="11" fillId="0" borderId="0" xfId="0" applyFont="1" applyAlignment="1" applyProtection="1">
      <alignment horizontal="center" vertical="center" wrapText="1"/>
      <protection locked="0"/>
    </xf>
    <xf numFmtId="0" fontId="24" fillId="7" borderId="0" xfId="0" applyFont="1" applyFill="1" applyAlignment="1" applyProtection="1">
      <alignment horizontal="center" vertical="center" wrapText="1"/>
      <protection locked="0"/>
    </xf>
    <xf numFmtId="0" fontId="14" fillId="3" borderId="10" xfId="0" applyFont="1" applyFill="1" applyBorder="1" applyAlignment="1" applyProtection="1">
      <alignment horizontal="left" vertical="center" wrapText="1"/>
    </xf>
    <xf numFmtId="167" fontId="14" fillId="3" borderId="10" xfId="2" applyNumberFormat="1" applyFont="1" applyFill="1" applyBorder="1" applyAlignment="1" applyProtection="1">
      <alignment horizontal="right" vertical="center" wrapText="1"/>
    </xf>
    <xf numFmtId="1" fontId="14" fillId="3" borderId="13" xfId="0" applyNumberFormat="1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left" vertical="center" wrapText="1"/>
    </xf>
    <xf numFmtId="167" fontId="14" fillId="3" borderId="7" xfId="2" applyNumberFormat="1" applyFont="1" applyFill="1" applyBorder="1" applyAlignment="1" applyProtection="1">
      <alignment horizontal="right" vertical="center" wrapText="1"/>
    </xf>
    <xf numFmtId="1" fontId="14" fillId="3" borderId="29" xfId="0" applyNumberFormat="1" applyFont="1" applyFill="1" applyBorder="1" applyAlignment="1" applyProtection="1">
      <alignment horizontal="center" vertical="center" wrapText="1"/>
    </xf>
    <xf numFmtId="0" fontId="32" fillId="0" borderId="0" xfId="0" applyFont="1" applyAlignment="1" applyProtection="1">
      <alignment horizontal="left" vertical="center"/>
    </xf>
    <xf numFmtId="0" fontId="4" fillId="7" borderId="0" xfId="0" applyFont="1" applyFill="1" applyAlignment="1" applyProtection="1">
      <alignment horizontal="center" vertical="center" wrapText="1"/>
      <protection locked="0"/>
    </xf>
    <xf numFmtId="0" fontId="33" fillId="7" borderId="0" xfId="0" applyFont="1" applyFill="1" applyAlignment="1" applyProtection="1">
      <alignment horizontal="center" vertical="center" wrapText="1"/>
      <protection locked="0"/>
    </xf>
    <xf numFmtId="0" fontId="2" fillId="8" borderId="10" xfId="0" applyFont="1" applyFill="1" applyBorder="1" applyAlignment="1">
      <alignment horizontal="center" vertical="center" wrapText="1"/>
    </xf>
    <xf numFmtId="167" fontId="2" fillId="8" borderId="10" xfId="0" applyNumberFormat="1" applyFont="1" applyFill="1" applyBorder="1" applyAlignment="1">
      <alignment horizontal="center" vertical="center" wrapText="1"/>
    </xf>
    <xf numFmtId="1" fontId="2" fillId="8" borderId="13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2" fillId="8" borderId="29" xfId="0" applyFont="1" applyFill="1" applyBorder="1" applyAlignment="1" applyProtection="1">
      <alignment horizontal="center" vertical="center" wrapText="1"/>
    </xf>
    <xf numFmtId="4" fontId="2" fillId="8" borderId="29" xfId="0" applyNumberFormat="1" applyFont="1" applyFill="1" applyBorder="1" applyAlignment="1" applyProtection="1">
      <alignment horizontal="center" vertical="center" wrapText="1"/>
    </xf>
    <xf numFmtId="165" fontId="14" fillId="3" borderId="10" xfId="3" applyFont="1" applyFill="1" applyBorder="1" applyAlignment="1" applyProtection="1">
      <alignment horizontal="center" vertical="center" wrapText="1"/>
    </xf>
    <xf numFmtId="165" fontId="2" fillId="0" borderId="15" xfId="3" applyFont="1" applyBorder="1" applyAlignment="1" applyProtection="1">
      <alignment horizontal="center" vertical="center" wrapText="1"/>
    </xf>
    <xf numFmtId="165" fontId="0" fillId="0" borderId="36" xfId="3" applyFont="1" applyFill="1" applyBorder="1" applyAlignment="1" applyProtection="1">
      <alignment horizontal="right" vertical="center" wrapText="1"/>
    </xf>
    <xf numFmtId="165" fontId="0" fillId="0" borderId="37" xfId="3" applyFont="1" applyFill="1" applyBorder="1" applyAlignment="1" applyProtection="1">
      <alignment horizontal="right" vertical="center" wrapText="1"/>
    </xf>
    <xf numFmtId="0" fontId="2" fillId="3" borderId="0" xfId="0" applyFont="1" applyFill="1" applyAlignment="1" applyProtection="1">
      <alignment horizontal="left" vertical="top"/>
    </xf>
    <xf numFmtId="0" fontId="3" fillId="3" borderId="0" xfId="0" applyFont="1" applyFill="1" applyAlignment="1" applyProtection="1">
      <alignment horizontal="left" vertical="top"/>
    </xf>
    <xf numFmtId="0" fontId="2" fillId="0" borderId="38" xfId="0" applyFont="1" applyBorder="1" applyAlignment="1" applyProtection="1">
      <alignment horizontal="center" vertical="center" wrapText="1"/>
    </xf>
    <xf numFmtId="0" fontId="2" fillId="4" borderId="33" xfId="0" applyFont="1" applyFill="1" applyBorder="1" applyAlignment="1" applyProtection="1">
      <alignment horizontal="center" vertical="center" wrapText="1"/>
    </xf>
    <xf numFmtId="0" fontId="2" fillId="8" borderId="31" xfId="0" applyFont="1" applyFill="1" applyBorder="1" applyAlignment="1" applyProtection="1">
      <alignment horizontal="center" vertical="center" wrapText="1"/>
    </xf>
    <xf numFmtId="0" fontId="2" fillId="0" borderId="32" xfId="0" applyFont="1" applyBorder="1" applyAlignment="1" applyProtection="1">
      <alignment horizontal="center" vertical="center" wrapText="1"/>
    </xf>
    <xf numFmtId="0" fontId="16" fillId="0" borderId="0" xfId="0" applyFont="1" applyAlignment="1" applyProtection="1">
      <alignment vertical="top"/>
    </xf>
    <xf numFmtId="171" fontId="4" fillId="9" borderId="5" xfId="0" applyNumberFormat="1" applyFont="1" applyFill="1" applyBorder="1" applyAlignment="1" applyProtection="1">
      <alignment horizontal="center" vertical="center" wrapText="1"/>
      <protection locked="0"/>
    </xf>
    <xf numFmtId="171" fontId="4" fillId="9" borderId="29" xfId="0" applyNumberFormat="1" applyFont="1" applyFill="1" applyBorder="1" applyAlignment="1" applyProtection="1">
      <alignment horizontal="center" vertical="center" wrapText="1"/>
      <protection locked="0"/>
    </xf>
    <xf numFmtId="164" fontId="14" fillId="3" borderId="41" xfId="2" applyNumberFormat="1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 wrapText="1"/>
      <protection locked="0"/>
    </xf>
    <xf numFmtId="165" fontId="4" fillId="0" borderId="40" xfId="3" applyFont="1" applyFill="1" applyBorder="1" applyAlignment="1" applyProtection="1">
      <alignment horizontal="right" vertical="center" wrapText="1"/>
      <protection locked="0"/>
    </xf>
    <xf numFmtId="14" fontId="14" fillId="3" borderId="12" xfId="0" applyNumberFormat="1" applyFont="1" applyFill="1" applyBorder="1" applyAlignment="1" applyProtection="1">
      <alignment horizontal="left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165" fontId="14" fillId="3" borderId="30" xfId="3" applyFont="1" applyFill="1" applyBorder="1" applyAlignment="1" applyProtection="1">
      <alignment horizontal="right" vertical="center" wrapText="1"/>
    </xf>
    <xf numFmtId="0" fontId="14" fillId="3" borderId="7" xfId="0" applyNumberFormat="1" applyFont="1" applyFill="1" applyBorder="1" applyAlignment="1" applyProtection="1">
      <alignment horizontal="right" vertical="center" wrapText="1"/>
    </xf>
    <xf numFmtId="167" fontId="14" fillId="6" borderId="4" xfId="0" applyNumberFormat="1" applyFont="1" applyFill="1" applyBorder="1" applyAlignment="1" applyProtection="1">
      <alignment horizontal="right" vertical="center" wrapText="1"/>
    </xf>
    <xf numFmtId="14" fontId="14" fillId="3" borderId="5" xfId="0" applyNumberFormat="1" applyFont="1" applyFill="1" applyBorder="1" applyAlignment="1" applyProtection="1">
      <alignment horizontal="left" vertical="center" wrapText="1"/>
    </xf>
    <xf numFmtId="0" fontId="4" fillId="10" borderId="40" xfId="0" applyFont="1" applyFill="1" applyBorder="1" applyAlignment="1" applyProtection="1">
      <alignment horizontal="center" vertical="center" wrapText="1"/>
      <protection locked="0"/>
    </xf>
    <xf numFmtId="165" fontId="2" fillId="10" borderId="21" xfId="0" applyNumberFormat="1" applyFont="1" applyFill="1" applyBorder="1" applyAlignment="1" applyProtection="1">
      <alignment horizontal="center" vertical="center" wrapText="1"/>
    </xf>
    <xf numFmtId="14" fontId="2" fillId="10" borderId="16" xfId="0" applyNumberFormat="1" applyFont="1" applyFill="1" applyBorder="1" applyAlignment="1" applyProtection="1">
      <alignment horizontal="center" vertical="center" wrapText="1"/>
    </xf>
    <xf numFmtId="0" fontId="2" fillId="10" borderId="21" xfId="0" applyFont="1" applyFill="1" applyBorder="1" applyAlignment="1" applyProtection="1">
      <alignment horizontal="center" vertical="center" wrapText="1"/>
    </xf>
    <xf numFmtId="14" fontId="2" fillId="10" borderId="21" xfId="0" applyNumberFormat="1" applyFont="1" applyFill="1" applyBorder="1" applyAlignment="1" applyProtection="1">
      <alignment horizontal="center" vertical="center" wrapText="1"/>
    </xf>
    <xf numFmtId="165" fontId="2" fillId="0" borderId="33" xfId="0" applyNumberFormat="1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</xf>
    <xf numFmtId="0" fontId="2" fillId="0" borderId="21" xfId="0" applyFont="1" applyBorder="1" applyAlignment="1" applyProtection="1">
      <alignment horizontal="center" vertical="center" wrapText="1"/>
    </xf>
    <xf numFmtId="2" fontId="0" fillId="0" borderId="42" xfId="3" applyNumberFormat="1" applyFont="1" applyFill="1" applyBorder="1" applyAlignment="1" applyProtection="1">
      <alignment horizontal="right" vertical="center" wrapText="1"/>
    </xf>
    <xf numFmtId="165" fontId="0" fillId="0" borderId="43" xfId="3" applyFont="1" applyFill="1" applyBorder="1" applyAlignment="1" applyProtection="1">
      <alignment horizontal="right" vertical="center" wrapText="1"/>
    </xf>
    <xf numFmtId="165" fontId="0" fillId="0" borderId="44" xfId="3" applyFont="1" applyFill="1" applyBorder="1" applyAlignment="1" applyProtection="1">
      <alignment horizontal="center" vertical="center" wrapText="1"/>
    </xf>
    <xf numFmtId="167" fontId="4" fillId="0" borderId="40" xfId="0" applyNumberFormat="1" applyFont="1" applyFill="1" applyBorder="1" applyAlignment="1" applyProtection="1">
      <alignment horizontal="right" vertical="center" wrapText="1"/>
    </xf>
    <xf numFmtId="14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165" fontId="4" fillId="10" borderId="40" xfId="3" applyFont="1" applyFill="1" applyBorder="1" applyAlignment="1" applyProtection="1">
      <alignment horizontal="right" vertical="center" wrapText="1"/>
      <protection locked="0"/>
    </xf>
    <xf numFmtId="170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14" fontId="14" fillId="3" borderId="11" xfId="0" applyNumberFormat="1" applyFont="1" applyFill="1" applyBorder="1" applyAlignment="1" applyProtection="1">
      <alignment horizontal="left" vertical="center" wrapText="1"/>
    </xf>
    <xf numFmtId="0" fontId="4" fillId="3" borderId="13" xfId="0" applyFont="1" applyFill="1" applyBorder="1" applyAlignment="1" applyProtection="1">
      <alignment horizontal="center" vertical="center" wrapText="1"/>
    </xf>
    <xf numFmtId="0" fontId="14" fillId="3" borderId="13" xfId="0" applyFont="1" applyFill="1" applyBorder="1" applyAlignment="1" applyProtection="1">
      <alignment horizontal="left" vertical="center" wrapText="1"/>
    </xf>
    <xf numFmtId="2" fontId="14" fillId="3" borderId="22" xfId="0" applyNumberFormat="1" applyFont="1" applyFill="1" applyBorder="1" applyAlignment="1" applyProtection="1">
      <alignment horizontal="right" vertical="center" wrapText="1"/>
    </xf>
    <xf numFmtId="165" fontId="14" fillId="3" borderId="13" xfId="3" applyFont="1" applyFill="1" applyBorder="1" applyAlignment="1" applyProtection="1">
      <alignment horizontal="right" vertical="center" wrapText="1"/>
    </xf>
    <xf numFmtId="165" fontId="14" fillId="3" borderId="22" xfId="3" applyFont="1" applyFill="1" applyBorder="1" applyAlignment="1" applyProtection="1">
      <alignment horizontal="right" vertical="center" wrapText="1"/>
    </xf>
    <xf numFmtId="165" fontId="14" fillId="3" borderId="23" xfId="3" applyFont="1" applyFill="1" applyBorder="1" applyAlignment="1" applyProtection="1">
      <alignment horizontal="right" vertical="center" wrapText="1"/>
    </xf>
    <xf numFmtId="0" fontId="14" fillId="3" borderId="10" xfId="0" applyNumberFormat="1" applyFont="1" applyFill="1" applyBorder="1" applyAlignment="1" applyProtection="1">
      <alignment horizontal="center" vertical="center" wrapText="1"/>
    </xf>
    <xf numFmtId="167" fontId="14" fillId="6" borderId="15" xfId="0" applyNumberFormat="1" applyFont="1" applyFill="1" applyBorder="1" applyAlignment="1" applyProtection="1">
      <alignment horizontal="right" vertical="center" wrapText="1"/>
    </xf>
    <xf numFmtId="14" fontId="2" fillId="0" borderId="16" xfId="0" applyNumberFormat="1" applyFont="1" applyBorder="1" applyAlignment="1" applyProtection="1">
      <alignment horizontal="center" vertical="center" wrapText="1"/>
    </xf>
    <xf numFmtId="14" fontId="2" fillId="0" borderId="21" xfId="0" applyNumberFormat="1" applyFont="1" applyBorder="1" applyAlignment="1" applyProtection="1">
      <alignment horizontal="center" vertical="center" wrapText="1"/>
    </xf>
    <xf numFmtId="165" fontId="2" fillId="0" borderId="32" xfId="3" applyFont="1" applyBorder="1" applyAlignment="1" applyProtection="1">
      <alignment horizontal="center" vertical="center" wrapText="1"/>
    </xf>
    <xf numFmtId="165" fontId="2" fillId="0" borderId="0" xfId="3" applyFont="1" applyBorder="1" applyAlignment="1" applyProtection="1">
      <alignment horizontal="center" vertical="center" wrapText="1"/>
    </xf>
    <xf numFmtId="0" fontId="2" fillId="0" borderId="15" xfId="0" applyNumberFormat="1" applyFont="1" applyBorder="1" applyAlignment="1" applyProtection="1">
      <alignment horizontal="center" vertical="center" wrapText="1"/>
      <protection locked="0"/>
    </xf>
    <xf numFmtId="14" fontId="4" fillId="14" borderId="40" xfId="0" applyNumberFormat="1" applyFont="1" applyFill="1" applyBorder="1" applyAlignment="1" applyProtection="1">
      <alignment vertical="center" wrapText="1"/>
      <protection locked="0"/>
    </xf>
    <xf numFmtId="0" fontId="4" fillId="14" borderId="40" xfId="0" applyFont="1" applyFill="1" applyBorder="1" applyAlignment="1" applyProtection="1">
      <alignment horizontal="center" vertical="center" wrapText="1"/>
      <protection locked="0"/>
    </xf>
    <xf numFmtId="165" fontId="4" fillId="14" borderId="40" xfId="3" applyFont="1" applyFill="1" applyBorder="1" applyAlignment="1" applyProtection="1">
      <alignment horizontal="right" vertical="center" wrapText="1"/>
      <protection locked="0"/>
    </xf>
    <xf numFmtId="14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4" fillId="14" borderId="7" xfId="0" applyFont="1" applyFill="1" applyBorder="1" applyAlignment="1" applyProtection="1">
      <alignment horizontal="left" vertical="center" wrapText="1"/>
      <protection locked="0"/>
    </xf>
    <xf numFmtId="2" fontId="4" fillId="14" borderId="39" xfId="0" applyNumberFormat="1" applyFont="1" applyFill="1" applyBorder="1" applyAlignment="1" applyProtection="1">
      <alignment horizontal="right" vertical="center" wrapText="1"/>
      <protection locked="0"/>
    </xf>
    <xf numFmtId="165" fontId="4" fillId="14" borderId="41" xfId="3" applyFont="1" applyFill="1" applyBorder="1" applyAlignment="1" applyProtection="1">
      <alignment horizontal="center" vertical="center" wrapText="1"/>
    </xf>
    <xf numFmtId="165" fontId="4" fillId="14" borderId="41" xfId="3" applyNumberFormat="1" applyFont="1" applyFill="1" applyBorder="1" applyAlignment="1" applyProtection="1">
      <alignment horizontal="center" vertical="center" wrapText="1"/>
    </xf>
    <xf numFmtId="165" fontId="4" fillId="13" borderId="39" xfId="3" applyFont="1" applyFill="1" applyBorder="1" applyAlignment="1" applyProtection="1">
      <alignment horizontal="right" vertical="center" wrapText="1"/>
      <protection locked="0"/>
    </xf>
    <xf numFmtId="14" fontId="2" fillId="0" borderId="0" xfId="0" applyNumberFormat="1" applyFont="1" applyBorder="1" applyAlignment="1" applyProtection="1">
      <alignment vertical="center" wrapText="1"/>
    </xf>
    <xf numFmtId="0" fontId="2" fillId="0" borderId="21" xfId="0" applyFont="1" applyBorder="1" applyAlignment="1" applyProtection="1">
      <alignment vertical="center" wrapText="1"/>
    </xf>
    <xf numFmtId="0" fontId="2" fillId="0" borderId="15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right" vertical="center" wrapText="1"/>
    </xf>
    <xf numFmtId="165" fontId="17" fillId="0" borderId="44" xfId="3" applyFont="1" applyFill="1" applyBorder="1" applyAlignment="1" applyProtection="1">
      <alignment horizontal="center" vertical="center" wrapText="1"/>
    </xf>
    <xf numFmtId="165" fontId="17" fillId="0" borderId="37" xfId="3" applyFont="1" applyFill="1" applyBorder="1" applyAlignment="1" applyProtection="1">
      <alignment horizontal="center" vertical="center" wrapText="1"/>
    </xf>
    <xf numFmtId="0" fontId="4" fillId="14" borderId="4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vertical="center"/>
    </xf>
    <xf numFmtId="0" fontId="4" fillId="8" borderId="3" xfId="0" applyFont="1" applyFill="1" applyBorder="1" applyAlignment="1" applyProtection="1">
      <alignment horizontal="center" vertical="center" wrapText="1"/>
    </xf>
    <xf numFmtId="0" fontId="8" fillId="0" borderId="32" xfId="0" applyFont="1" applyFill="1" applyBorder="1" applyAlignment="1" applyProtection="1">
      <alignment vertical="center"/>
    </xf>
    <xf numFmtId="2" fontId="4" fillId="13" borderId="39" xfId="0" applyNumberFormat="1" applyFont="1" applyFill="1" applyBorder="1" applyAlignment="1" applyProtection="1">
      <alignment horizontal="right" vertical="center" wrapText="1"/>
      <protection locked="0"/>
    </xf>
    <xf numFmtId="164" fontId="4" fillId="13" borderId="40" xfId="2" applyNumberFormat="1" applyFont="1" applyFill="1" applyBorder="1" applyAlignment="1" applyProtection="1">
      <alignment horizontal="right" vertical="center" wrapText="1"/>
      <protection locked="0"/>
    </xf>
    <xf numFmtId="165" fontId="4" fillId="13" borderId="41" xfId="3" applyFont="1" applyFill="1" applyBorder="1" applyAlignment="1" applyProtection="1">
      <alignment horizontal="center" vertical="center" wrapText="1"/>
    </xf>
    <xf numFmtId="165" fontId="4" fillId="13" borderId="41" xfId="3" applyNumberFormat="1" applyFont="1" applyFill="1" applyBorder="1" applyAlignment="1" applyProtection="1">
      <alignment horizontal="center" vertical="center" wrapText="1"/>
    </xf>
    <xf numFmtId="0" fontId="4" fillId="13" borderId="39" xfId="0" applyFont="1" applyFill="1" applyBorder="1" applyAlignment="1" applyProtection="1">
      <alignment horizontal="right" vertical="center" wrapText="1"/>
      <protection locked="0"/>
    </xf>
    <xf numFmtId="0" fontId="2" fillId="0" borderId="0" xfId="0" applyNumberFormat="1" applyFont="1" applyBorder="1" applyAlignment="1" applyProtection="1">
      <alignment horizontal="center" vertical="center" wrapText="1"/>
    </xf>
    <xf numFmtId="0" fontId="5" fillId="0" borderId="15" xfId="0" applyFont="1" applyBorder="1" applyAlignment="1" applyProtection="1">
      <alignment horizontal="right" vertical="center" wrapText="1"/>
    </xf>
    <xf numFmtId="165" fontId="17" fillId="0" borderId="37" xfId="3" applyFont="1" applyFill="1" applyBorder="1" applyAlignment="1" applyProtection="1">
      <alignment horizontal="right" vertical="center" wrapText="1"/>
    </xf>
    <xf numFmtId="165" fontId="2" fillId="0" borderId="37" xfId="3" applyFont="1" applyFill="1" applyBorder="1" applyAlignment="1" applyProtection="1">
      <alignment horizontal="right" vertical="center" wrapText="1"/>
    </xf>
    <xf numFmtId="167" fontId="4" fillId="0" borderId="3" xfId="0" applyNumberFormat="1" applyFont="1" applyFill="1" applyBorder="1" applyAlignment="1" applyProtection="1">
      <alignment horizontal="right" vertical="center" wrapText="1"/>
      <protection locked="0"/>
    </xf>
    <xf numFmtId="167" fontId="4" fillId="0" borderId="40" xfId="0" applyNumberFormat="1" applyFont="1" applyFill="1" applyBorder="1" applyAlignment="1" applyProtection="1">
      <alignment horizontal="right" vertical="center" wrapText="1"/>
      <protection locked="0"/>
    </xf>
    <xf numFmtId="0" fontId="14" fillId="10" borderId="3" xfId="0" applyFont="1" applyFill="1" applyBorder="1" applyAlignment="1" applyProtection="1">
      <alignment horizontal="left" vertical="center" wrapText="1"/>
      <protection locked="0"/>
    </xf>
    <xf numFmtId="0" fontId="14" fillId="10" borderId="40" xfId="0" applyFont="1" applyFill="1" applyBorder="1" applyAlignment="1" applyProtection="1">
      <alignment horizontal="left" vertical="center" wrapText="1"/>
      <protection locked="0"/>
    </xf>
    <xf numFmtId="14" fontId="2" fillId="10" borderId="2" xfId="0" applyNumberFormat="1" applyFont="1" applyFill="1" applyBorder="1" applyAlignment="1" applyProtection="1">
      <alignment horizontal="center" vertical="center" wrapText="1"/>
    </xf>
    <xf numFmtId="0" fontId="2" fillId="10" borderId="3" xfId="0" applyFont="1" applyFill="1" applyBorder="1" applyAlignment="1" applyProtection="1">
      <alignment horizontal="center" vertical="center" wrapText="1"/>
    </xf>
    <xf numFmtId="14" fontId="4" fillId="10" borderId="12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47" xfId="0" applyNumberFormat="1" applyFont="1" applyFill="1" applyBorder="1" applyAlignment="1">
      <alignment horizontal="center" vertical="center" wrapText="1"/>
    </xf>
    <xf numFmtId="14" fontId="2" fillId="8" borderId="46" xfId="0" applyNumberFormat="1" applyFont="1" applyFill="1" applyBorder="1" applyAlignment="1">
      <alignment horizontal="center" vertical="center" wrapText="1"/>
    </xf>
    <xf numFmtId="171" fontId="14" fillId="10" borderId="5" xfId="0" applyNumberFormat="1" applyFont="1" applyFill="1" applyBorder="1" applyAlignment="1" applyProtection="1">
      <alignment horizontal="left" vertical="center" wrapText="1"/>
      <protection locked="0"/>
    </xf>
    <xf numFmtId="171" fontId="4" fillId="10" borderId="5" xfId="0" applyNumberFormat="1" applyFont="1" applyFill="1" applyBorder="1" applyAlignment="1" applyProtection="1">
      <alignment horizontal="center" vertical="center" wrapText="1"/>
      <protection locked="0"/>
    </xf>
    <xf numFmtId="171" fontId="4" fillId="10" borderId="5" xfId="0" applyNumberFormat="1" applyFont="1" applyFill="1" applyBorder="1" applyAlignment="1" applyProtection="1">
      <alignment horizontal="left" vertical="center" wrapText="1"/>
      <protection locked="0"/>
    </xf>
    <xf numFmtId="0" fontId="4" fillId="10" borderId="21" xfId="0" applyFont="1" applyFill="1" applyBorder="1" applyAlignment="1" applyProtection="1">
      <alignment horizontal="left" vertical="center" wrapText="1"/>
      <protection locked="0"/>
    </xf>
    <xf numFmtId="167" fontId="4" fillId="0" borderId="40" xfId="2" applyNumberFormat="1" applyFont="1" applyFill="1" applyBorder="1" applyAlignment="1" applyProtection="1">
      <alignment horizontal="right" vertical="center" wrapText="1"/>
      <protection locked="0"/>
    </xf>
    <xf numFmtId="171" fontId="4" fillId="9" borderId="40" xfId="0" applyNumberFormat="1" applyFont="1" applyFill="1" applyBorder="1" applyAlignment="1" applyProtection="1">
      <alignment horizontal="center" vertical="center" wrapText="1"/>
      <protection locked="0"/>
    </xf>
    <xf numFmtId="171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171" fontId="4" fillId="10" borderId="40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2" xfId="0" applyFont="1" applyFill="1" applyBorder="1" applyAlignment="1" applyProtection="1">
      <alignment horizontal="center" vertical="center" wrapText="1"/>
    </xf>
    <xf numFmtId="0" fontId="14" fillId="3" borderId="40" xfId="0" applyFont="1" applyFill="1" applyBorder="1" applyAlignment="1" applyProtection="1">
      <alignment vertical="center" wrapText="1"/>
    </xf>
    <xf numFmtId="0" fontId="14" fillId="3" borderId="40" xfId="0" applyFont="1" applyFill="1" applyBorder="1" applyAlignment="1" applyProtection="1">
      <alignment horizontal="center" vertical="center" wrapText="1"/>
    </xf>
    <xf numFmtId="0" fontId="14" fillId="3" borderId="7" xfId="0" applyFont="1" applyFill="1" applyBorder="1" applyAlignment="1" applyProtection="1">
      <alignment horizontal="center" vertical="center" wrapText="1"/>
    </xf>
    <xf numFmtId="2" fontId="14" fillId="3" borderId="34" xfId="0" applyNumberFormat="1" applyFont="1" applyFill="1" applyBorder="1" applyAlignment="1" applyProtection="1">
      <alignment horizontal="right" vertical="center" wrapText="1"/>
    </xf>
    <xf numFmtId="164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12" xfId="0" applyNumberFormat="1" applyFont="1" applyFill="1" applyBorder="1" applyAlignment="1" applyProtection="1">
      <alignment horizontal="center" vertical="center" wrapText="1"/>
    </xf>
    <xf numFmtId="164" fontId="15" fillId="3" borderId="7" xfId="0" applyNumberFormat="1" applyFont="1" applyFill="1" applyBorder="1" applyAlignment="1" applyProtection="1">
      <alignment horizontal="right" vertical="center" wrapText="1"/>
    </xf>
    <xf numFmtId="0" fontId="14" fillId="3" borderId="13" xfId="0" applyFont="1" applyFill="1" applyBorder="1" applyAlignment="1" applyProtection="1">
      <alignment vertical="center" wrapText="1"/>
    </xf>
    <xf numFmtId="0" fontId="14" fillId="3" borderId="13" xfId="0" applyFont="1" applyFill="1" applyBorder="1" applyAlignment="1" applyProtection="1">
      <alignment horizontal="center" vertical="center" wrapText="1"/>
    </xf>
    <xf numFmtId="0" fontId="14" fillId="3" borderId="10" xfId="0" applyFont="1" applyFill="1" applyBorder="1" applyAlignment="1" applyProtection="1">
      <alignment horizontal="center" vertical="center" wrapText="1"/>
    </xf>
    <xf numFmtId="2" fontId="14" fillId="3" borderId="45" xfId="0" applyNumberFormat="1" applyFont="1" applyFill="1" applyBorder="1" applyAlignment="1" applyProtection="1">
      <alignment horizontal="right" vertical="center" wrapText="1"/>
    </xf>
    <xf numFmtId="164" fontId="14" fillId="3" borderId="13" xfId="2" applyNumberFormat="1" applyFont="1" applyFill="1" applyBorder="1" applyAlignment="1" applyProtection="1">
      <alignment horizontal="right" vertical="center" wrapText="1"/>
    </xf>
    <xf numFmtId="164" fontId="14" fillId="3" borderId="23" xfId="2" applyNumberFormat="1" applyFont="1" applyFill="1" applyBorder="1" applyAlignment="1" applyProtection="1">
      <alignment horizontal="center" vertical="center" wrapText="1"/>
    </xf>
    <xf numFmtId="0" fontId="14" fillId="3" borderId="9" xfId="0" applyNumberFormat="1" applyFont="1" applyFill="1" applyBorder="1" applyAlignment="1" applyProtection="1">
      <alignment horizontal="center" vertical="center" wrapText="1"/>
    </xf>
    <xf numFmtId="164" fontId="15" fillId="3" borderId="10" xfId="0" applyNumberFormat="1" applyFont="1" applyFill="1" applyBorder="1" applyAlignment="1" applyProtection="1">
      <alignment horizontal="right" vertical="center" wrapText="1"/>
    </xf>
    <xf numFmtId="0" fontId="14" fillId="3" borderId="39" xfId="0" applyFont="1" applyFill="1" applyBorder="1" applyAlignment="1" applyProtection="1">
      <alignment horizontal="right" vertical="center" wrapText="1"/>
    </xf>
    <xf numFmtId="0" fontId="14" fillId="3" borderId="22" xfId="0" applyFont="1" applyFill="1" applyBorder="1" applyAlignment="1" applyProtection="1">
      <alignment horizontal="right" vertical="center" wrapText="1"/>
    </xf>
    <xf numFmtId="0" fontId="5" fillId="0" borderId="16" xfId="0" applyFont="1" applyBorder="1" applyAlignment="1" applyProtection="1">
      <alignment vertical="center" wrapText="1"/>
    </xf>
    <xf numFmtId="171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vertical="center" wrapText="1"/>
    </xf>
    <xf numFmtId="0" fontId="4" fillId="10" borderId="16" xfId="0" applyFont="1" applyFill="1" applyBorder="1" applyAlignment="1" applyProtection="1">
      <alignment horizontal="left" vertical="center" wrapText="1"/>
      <protection locked="0"/>
    </xf>
    <xf numFmtId="165" fontId="34" fillId="0" borderId="0" xfId="3" applyFont="1" applyAlignment="1" applyProtection="1">
      <alignment horizontal="center" vertical="center" wrapText="1"/>
    </xf>
    <xf numFmtId="165" fontId="30" fillId="0" borderId="48" xfId="3" applyFont="1" applyBorder="1" applyAlignment="1" applyProtection="1">
      <alignment horizontal="center" vertical="center" wrapText="1"/>
    </xf>
    <xf numFmtId="165" fontId="4" fillId="0" borderId="15" xfId="3" applyFont="1" applyFill="1" applyBorder="1" applyAlignment="1" applyProtection="1">
      <alignment horizontal="right" vertical="center" wrapText="1"/>
    </xf>
    <xf numFmtId="0" fontId="14" fillId="3" borderId="29" xfId="0" applyFont="1" applyFill="1" applyBorder="1" applyAlignment="1" applyProtection="1">
      <alignment horizontal="left" vertical="center" wrapText="1"/>
    </xf>
    <xf numFmtId="165" fontId="4" fillId="0" borderId="40" xfId="3" applyNumberFormat="1" applyFont="1" applyFill="1" applyBorder="1" applyAlignment="1" applyProtection="1">
      <alignment horizontal="right" vertical="center" wrapText="1"/>
      <protection locked="0"/>
    </xf>
    <xf numFmtId="165" fontId="34" fillId="0" borderId="40" xfId="3" applyFont="1" applyFill="1" applyBorder="1" applyAlignment="1" applyProtection="1">
      <alignment horizontal="right" vertical="center" wrapText="1"/>
      <protection locked="0"/>
    </xf>
    <xf numFmtId="0" fontId="14" fillId="3" borderId="49" xfId="0" applyFont="1" applyFill="1" applyBorder="1" applyAlignment="1" applyProtection="1">
      <alignment horizontal="left" vertical="center" wrapText="1"/>
    </xf>
    <xf numFmtId="165" fontId="5" fillId="3" borderId="0" xfId="3" applyFont="1" applyFill="1" applyBorder="1" applyAlignment="1">
      <alignment horizontal="right" vertical="center"/>
    </xf>
    <xf numFmtId="0" fontId="8" fillId="5" borderId="40" xfId="0" applyFont="1" applyFill="1" applyBorder="1" applyAlignment="1">
      <alignment horizontal="left" vertical="center"/>
    </xf>
    <xf numFmtId="165" fontId="5" fillId="5" borderId="40" xfId="3" applyFont="1" applyFill="1" applyBorder="1" applyAlignment="1">
      <alignment horizontal="right" vertical="center"/>
    </xf>
    <xf numFmtId="165" fontId="8" fillId="3" borderId="29" xfId="3" applyFont="1" applyFill="1" applyBorder="1" applyAlignment="1">
      <alignment horizontal="right" vertical="center"/>
    </xf>
    <xf numFmtId="165" fontId="8" fillId="5" borderId="40" xfId="3" applyFont="1" applyFill="1" applyBorder="1" applyAlignment="1">
      <alignment horizontal="left" vertical="center"/>
    </xf>
    <xf numFmtId="49" fontId="4" fillId="0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textRotation="90" wrapText="1"/>
    </xf>
    <xf numFmtId="0" fontId="19" fillId="0" borderId="0" xfId="0" applyFont="1" applyProtection="1"/>
    <xf numFmtId="171" fontId="4" fillId="6" borderId="2" xfId="0" applyNumberFormat="1" applyFont="1" applyFill="1" applyBorder="1" applyAlignment="1" applyProtection="1">
      <alignment horizontal="center" vertical="center" wrapText="1"/>
      <protection locked="0"/>
    </xf>
    <xf numFmtId="171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171" fontId="4" fillId="3" borderId="40" xfId="0" applyNumberFormat="1" applyFont="1" applyFill="1" applyBorder="1" applyAlignment="1" applyProtection="1">
      <alignment horizontal="center" vertical="center" wrapText="1"/>
      <protection locked="0"/>
    </xf>
    <xf numFmtId="170" fontId="4" fillId="14" borderId="40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5" xfId="0" applyFont="1" applyFill="1" applyBorder="1" applyAlignment="1" applyProtection="1">
      <alignment horizontal="left" vertical="center" wrapText="1"/>
    </xf>
    <xf numFmtId="0" fontId="14" fillId="3" borderId="34" xfId="0" applyNumberFormat="1" applyFont="1" applyFill="1" applyBorder="1" applyAlignment="1" applyProtection="1">
      <alignment horizontal="center" vertical="center" wrapText="1"/>
    </xf>
    <xf numFmtId="164" fontId="14" fillId="3" borderId="7" xfId="0" applyNumberFormat="1" applyFont="1" applyFill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left"/>
    </xf>
    <xf numFmtId="0" fontId="2" fillId="0" borderId="0" xfId="0" applyFont="1" applyAlignment="1" applyProtection="1">
      <alignment horizontal="left" vertical="center" wrapText="1"/>
    </xf>
    <xf numFmtId="0" fontId="11" fillId="0" borderId="0" xfId="0" applyFont="1" applyAlignment="1" applyProtection="1">
      <alignment horizontal="center" vertical="center"/>
    </xf>
    <xf numFmtId="0" fontId="34" fillId="0" borderId="0" xfId="0" applyFont="1" applyAlignment="1" applyProtection="1">
      <alignment horizontal="left" vertical="center"/>
    </xf>
    <xf numFmtId="0" fontId="14" fillId="3" borderId="29" xfId="0" applyFont="1" applyFill="1" applyBorder="1" applyAlignment="1" applyProtection="1">
      <alignment horizontal="center" vertical="center" wrapText="1"/>
    </xf>
    <xf numFmtId="167" fontId="14" fillId="3" borderId="40" xfId="2" applyNumberFormat="1" applyFont="1" applyFill="1" applyBorder="1" applyAlignment="1" applyProtection="1">
      <alignment horizontal="right" vertical="center" wrapText="1"/>
    </xf>
    <xf numFmtId="0" fontId="14" fillId="3" borderId="49" xfId="0" applyFont="1" applyFill="1" applyBorder="1" applyAlignment="1" applyProtection="1">
      <alignment horizontal="center" vertical="center" wrapText="1"/>
    </xf>
    <xf numFmtId="0" fontId="4" fillId="10" borderId="40" xfId="0" applyFont="1" applyFill="1" applyBorder="1" applyAlignment="1" applyProtection="1">
      <alignment horizontal="left" vertical="center"/>
      <protection locked="0"/>
    </xf>
    <xf numFmtId="168" fontId="1" fillId="3" borderId="0" xfId="0" applyNumberFormat="1" applyFont="1" applyFill="1" applyAlignment="1" applyProtection="1">
      <alignment horizontal="left"/>
    </xf>
    <xf numFmtId="0" fontId="14" fillId="3" borderId="29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/>
    <xf numFmtId="165" fontId="14" fillId="3" borderId="40" xfId="3" applyFont="1" applyFill="1" applyBorder="1" applyAlignment="1" applyProtection="1">
      <alignment horizontal="right" vertical="center" wrapText="1"/>
    </xf>
    <xf numFmtId="14" fontId="2" fillId="10" borderId="14" xfId="0" applyNumberFormat="1" applyFont="1" applyFill="1" applyBorder="1" applyAlignment="1" applyProtection="1">
      <alignment horizontal="center" vertical="center" wrapText="1"/>
    </xf>
    <xf numFmtId="4" fontId="2" fillId="0" borderId="3" xfId="0" applyNumberFormat="1" applyFont="1" applyBorder="1" applyAlignment="1" applyProtection="1">
      <alignment horizontal="right" vertical="center" wrapText="1"/>
    </xf>
    <xf numFmtId="4" fontId="2" fillId="0" borderId="4" xfId="0" applyNumberFormat="1" applyFont="1" applyBorder="1" applyAlignment="1" applyProtection="1">
      <alignment horizontal="right" vertical="center" wrapText="1"/>
    </xf>
    <xf numFmtId="0" fontId="2" fillId="4" borderId="14" xfId="0" applyNumberFormat="1" applyFont="1" applyFill="1" applyBorder="1" applyAlignment="1" applyProtection="1">
      <alignment horizontal="center" vertical="center" wrapText="1"/>
    </xf>
    <xf numFmtId="0" fontId="14" fillId="5" borderId="40" xfId="0" applyFont="1" applyFill="1" applyBorder="1" applyAlignment="1" applyProtection="1">
      <alignment horizontal="left" vertical="center" wrapText="1"/>
      <protection locked="0"/>
    </xf>
    <xf numFmtId="165" fontId="14" fillId="5" borderId="40" xfId="3" applyFont="1" applyFill="1" applyBorder="1" applyAlignment="1" applyProtection="1">
      <alignment horizontal="right" vertical="center" wrapText="1"/>
    </xf>
    <xf numFmtId="165" fontId="14" fillId="3" borderId="4" xfId="3" applyFont="1" applyFill="1" applyBorder="1" applyAlignment="1" applyProtection="1">
      <alignment horizontal="right" vertical="center" wrapText="1"/>
    </xf>
    <xf numFmtId="0" fontId="6" fillId="3" borderId="0" xfId="0" applyFont="1" applyFill="1" applyAlignment="1" applyProtection="1">
      <alignment horizontal="center" vertical="center"/>
    </xf>
    <xf numFmtId="0" fontId="16" fillId="3" borderId="0" xfId="0" applyFont="1" applyFill="1" applyAlignment="1" applyProtection="1">
      <alignment horizontal="center" vertical="center"/>
    </xf>
    <xf numFmtId="0" fontId="19" fillId="3" borderId="0" xfId="0" applyFont="1" applyFill="1" applyAlignment="1" applyProtection="1">
      <alignment horizontal="left" vertical="center"/>
    </xf>
    <xf numFmtId="0" fontId="16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horizontal="left" vertical="center"/>
    </xf>
    <xf numFmtId="171" fontId="4" fillId="3" borderId="13" xfId="0" applyNumberFormat="1" applyFont="1" applyFill="1" applyBorder="1" applyAlignment="1" applyProtection="1">
      <alignment horizontal="center" vertical="center" wrapText="1"/>
    </xf>
    <xf numFmtId="0" fontId="26" fillId="8" borderId="15" xfId="0" applyFont="1" applyFill="1" applyBorder="1" applyAlignment="1" applyProtection="1">
      <alignment horizontal="centerContinuous" vertical="center"/>
    </xf>
    <xf numFmtId="0" fontId="26" fillId="8" borderId="0" xfId="0" applyFont="1" applyFill="1" applyBorder="1" applyAlignment="1" applyProtection="1">
      <alignment horizontal="centerContinuous" vertical="center"/>
    </xf>
    <xf numFmtId="0" fontId="26" fillId="8" borderId="16" xfId="0" applyFont="1" applyFill="1" applyBorder="1" applyAlignment="1" applyProtection="1">
      <alignment horizontal="centerContinuous" vertical="center"/>
    </xf>
    <xf numFmtId="0" fontId="28" fillId="8" borderId="15" xfId="0" applyFont="1" applyFill="1" applyBorder="1" applyAlignment="1" applyProtection="1">
      <alignment horizontal="centerContinuous" vertical="center"/>
    </xf>
    <xf numFmtId="0" fontId="28" fillId="8" borderId="0" xfId="0" applyFont="1" applyFill="1" applyBorder="1" applyAlignment="1" applyProtection="1">
      <alignment horizontal="centerContinuous" vertical="center"/>
    </xf>
    <xf numFmtId="0" fontId="28" fillId="8" borderId="16" xfId="0" applyFont="1" applyFill="1" applyBorder="1" applyAlignment="1" applyProtection="1">
      <alignment horizontal="centerContinuous" vertical="center"/>
    </xf>
    <xf numFmtId="0" fontId="29" fillId="8" borderId="15" xfId="7" applyFont="1" applyFill="1" applyBorder="1" applyAlignment="1" applyProtection="1">
      <alignment horizontal="centerContinuous" vertical="center"/>
    </xf>
    <xf numFmtId="0" fontId="29" fillId="8" borderId="0" xfId="7" applyFont="1" applyFill="1" applyBorder="1" applyAlignment="1" applyProtection="1">
      <alignment horizontal="centerContinuous" vertical="center"/>
    </xf>
    <xf numFmtId="0" fontId="29" fillId="8" borderId="16" xfId="7" applyFont="1" applyFill="1" applyBorder="1" applyAlignment="1" applyProtection="1">
      <alignment horizontal="centerContinuous" vertical="center"/>
    </xf>
    <xf numFmtId="0" fontId="16" fillId="8" borderId="15" xfId="0" applyFont="1" applyFill="1" applyBorder="1" applyAlignment="1" applyProtection="1">
      <alignment horizontal="centerContinuous" vertical="center"/>
    </xf>
    <xf numFmtId="0" fontId="16" fillId="8" borderId="0" xfId="0" applyFont="1" applyFill="1" applyBorder="1" applyAlignment="1" applyProtection="1">
      <alignment horizontal="centerContinuous" vertical="center"/>
    </xf>
    <xf numFmtId="0" fontId="16" fillId="8" borderId="16" xfId="0" applyFont="1" applyFill="1" applyBorder="1" applyAlignment="1" applyProtection="1">
      <alignment horizontal="centerContinuous" vertical="center"/>
    </xf>
    <xf numFmtId="0" fontId="0" fillId="8" borderId="15" xfId="0" applyFill="1" applyBorder="1" applyAlignment="1" applyProtection="1">
      <alignment horizontal="centerContinuous"/>
    </xf>
    <xf numFmtId="0" fontId="0" fillId="8" borderId="0" xfId="0" applyFill="1" applyBorder="1" applyAlignment="1" applyProtection="1">
      <alignment horizontal="centerContinuous"/>
    </xf>
    <xf numFmtId="0" fontId="0" fillId="8" borderId="16" xfId="0" applyFill="1" applyBorder="1" applyAlignment="1" applyProtection="1">
      <alignment horizontal="centerContinuous"/>
    </xf>
    <xf numFmtId="0" fontId="30" fillId="4" borderId="50" xfId="0" applyFont="1" applyFill="1" applyBorder="1" applyAlignment="1" applyProtection="1">
      <alignment horizontal="center" vertical="center" wrapText="1"/>
    </xf>
    <xf numFmtId="14" fontId="14" fillId="3" borderId="1" xfId="0" applyNumberFormat="1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171" fontId="4" fillId="3" borderId="3" xfId="0" applyNumberFormat="1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 applyProtection="1">
      <alignment horizontal="left" vertical="center" wrapText="1"/>
    </xf>
    <xf numFmtId="2" fontId="14" fillId="3" borderId="19" xfId="0" applyNumberFormat="1" applyFont="1" applyFill="1" applyBorder="1" applyAlignment="1" applyProtection="1">
      <alignment horizontal="right" vertical="center" wrapText="1"/>
    </xf>
    <xf numFmtId="165" fontId="14" fillId="3" borderId="3" xfId="3" applyFont="1" applyFill="1" applyBorder="1" applyAlignment="1" applyProtection="1">
      <alignment horizontal="right" vertical="center" wrapText="1"/>
    </xf>
    <xf numFmtId="165" fontId="14" fillId="3" borderId="4" xfId="3" applyFont="1" applyFill="1" applyBorder="1" applyAlignment="1" applyProtection="1">
      <alignment horizontal="center" vertical="center" wrapText="1"/>
    </xf>
    <xf numFmtId="165" fontId="14" fillId="3" borderId="19" xfId="3" applyFont="1" applyFill="1" applyBorder="1" applyAlignment="1" applyProtection="1">
      <alignment horizontal="right" vertical="center" wrapText="1"/>
    </xf>
    <xf numFmtId="165" fontId="14" fillId="3" borderId="20" xfId="3" applyFont="1" applyFill="1" applyBorder="1" applyAlignment="1" applyProtection="1">
      <alignment horizontal="right" vertical="center" wrapText="1"/>
    </xf>
    <xf numFmtId="0" fontId="14" fillId="3" borderId="4" xfId="0" applyNumberFormat="1" applyFont="1" applyFill="1" applyBorder="1" applyAlignment="1" applyProtection="1">
      <alignment horizontal="center" vertical="center" wrapText="1"/>
    </xf>
    <xf numFmtId="14" fontId="2" fillId="8" borderId="40" xfId="0" applyNumberFormat="1" applyFont="1" applyFill="1" applyBorder="1" applyAlignment="1" applyProtection="1">
      <alignment horizontal="center" vertical="center" wrapText="1"/>
    </xf>
    <xf numFmtId="0" fontId="2" fillId="8" borderId="40" xfId="0" applyFont="1" applyFill="1" applyBorder="1" applyAlignment="1" applyProtection="1">
      <alignment horizontal="center" vertical="center" wrapText="1"/>
    </xf>
    <xf numFmtId="2" fontId="2" fillId="8" borderId="39" xfId="0" applyNumberFormat="1" applyFont="1" applyFill="1" applyBorder="1" applyAlignment="1" applyProtection="1">
      <alignment horizontal="center" vertical="center" wrapText="1"/>
    </xf>
    <xf numFmtId="165" fontId="2" fillId="8" borderId="40" xfId="3" applyFont="1" applyFill="1" applyBorder="1" applyAlignment="1" applyProtection="1">
      <alignment horizontal="center" vertical="center" wrapText="1"/>
    </xf>
    <xf numFmtId="165" fontId="2" fillId="8" borderId="7" xfId="3" applyFont="1" applyFill="1" applyBorder="1" applyAlignment="1" applyProtection="1">
      <alignment horizontal="center" vertical="center" wrapText="1"/>
    </xf>
    <xf numFmtId="165" fontId="2" fillId="8" borderId="34" xfId="3" applyFont="1" applyFill="1" applyBorder="1" applyAlignment="1" applyProtection="1">
      <alignment horizontal="center" vertical="center" wrapText="1"/>
    </xf>
    <xf numFmtId="165" fontId="2" fillId="8" borderId="41" xfId="3" applyFont="1" applyFill="1" applyBorder="1" applyAlignment="1" applyProtection="1">
      <alignment horizontal="center" vertical="center" wrapText="1"/>
    </xf>
    <xf numFmtId="0" fontId="2" fillId="8" borderId="7" xfId="0" applyFont="1" applyFill="1" applyBorder="1" applyAlignment="1" applyProtection="1">
      <alignment horizontal="center" vertical="center" wrapText="1"/>
    </xf>
    <xf numFmtId="49" fontId="4" fillId="10" borderId="29" xfId="0" applyNumberFormat="1" applyFont="1" applyFill="1" applyBorder="1" applyAlignment="1" applyProtection="1">
      <alignment horizontal="left" vertical="center" wrapText="1"/>
      <protection locked="0"/>
    </xf>
    <xf numFmtId="49" fontId="4" fillId="10" borderId="40" xfId="0" applyNumberFormat="1" applyFont="1" applyFill="1" applyBorder="1" applyAlignment="1" applyProtection="1">
      <alignment horizontal="left" vertical="center" wrapText="1"/>
      <protection locked="0"/>
    </xf>
    <xf numFmtId="49" fontId="4" fillId="12" borderId="7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14" borderId="40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/>
    </xf>
    <xf numFmtId="0" fontId="32" fillId="0" borderId="0" xfId="0" applyFont="1" applyAlignment="1" applyProtection="1">
      <alignment horizontal="center" vertical="center"/>
    </xf>
    <xf numFmtId="0" fontId="36" fillId="0" borderId="0" xfId="0" applyFont="1" applyAlignment="1" applyProtection="1">
      <alignment horizontal="center" vertical="center"/>
    </xf>
    <xf numFmtId="0" fontId="37" fillId="0" borderId="0" xfId="0" applyFont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9" fillId="0" borderId="0" xfId="0" applyFont="1" applyAlignment="1" applyProtection="1">
      <alignment horizontal="center" vertical="center"/>
    </xf>
    <xf numFmtId="0" fontId="38" fillId="0" borderId="0" xfId="0" applyNumberFormat="1" applyFont="1" applyBorder="1" applyAlignment="1" applyProtection="1">
      <alignment horizontal="right"/>
    </xf>
    <xf numFmtId="0" fontId="19" fillId="0" borderId="0" xfId="0" applyFont="1" applyAlignment="1" applyProtection="1">
      <alignment horizontal="center" vertical="center" textRotation="90" wrapText="1"/>
    </xf>
    <xf numFmtId="0" fontId="19" fillId="0" borderId="0" xfId="0" applyFont="1" applyAlignment="1" applyProtection="1">
      <alignment horizontal="center" vertical="center" textRotation="90"/>
    </xf>
    <xf numFmtId="0" fontId="9" fillId="3" borderId="29" xfId="0" applyFont="1" applyFill="1" applyBorder="1" applyAlignment="1" applyProtection="1">
      <alignment horizontal="left" vertical="top" wrapText="1"/>
      <protection locked="0"/>
    </xf>
    <xf numFmtId="0" fontId="14" fillId="3" borderId="7" xfId="0" applyFont="1" applyFill="1" applyBorder="1" applyAlignment="1" applyProtection="1">
      <alignment horizontal="left" vertical="top" wrapText="1"/>
    </xf>
    <xf numFmtId="0" fontId="2" fillId="10" borderId="15" xfId="0" applyFont="1" applyFill="1" applyBorder="1" applyAlignment="1" applyProtection="1">
      <alignment horizontal="center" vertical="center" wrapText="1"/>
    </xf>
    <xf numFmtId="0" fontId="4" fillId="10" borderId="7" xfId="0" applyFont="1" applyFill="1" applyBorder="1" applyAlignment="1" applyProtection="1">
      <alignment horizontal="left" vertical="center" wrapText="1"/>
      <protection locked="0"/>
    </xf>
    <xf numFmtId="165" fontId="2" fillId="4" borderId="51" xfId="3" applyNumberFormat="1" applyFont="1" applyFill="1" applyBorder="1" applyAlignment="1">
      <alignment horizontal="center" vertical="center" wrapText="1"/>
    </xf>
    <xf numFmtId="165" fontId="2" fillId="8" borderId="1" xfId="3" applyFont="1" applyFill="1" applyBorder="1" applyAlignment="1" applyProtection="1">
      <alignment horizontal="center" vertical="center" wrapText="1"/>
    </xf>
    <xf numFmtId="165" fontId="14" fillId="3" borderId="5" xfId="3" applyFont="1" applyFill="1" applyBorder="1" applyAlignment="1" applyProtection="1">
      <alignment horizontal="right" vertical="center" wrapText="1"/>
    </xf>
    <xf numFmtId="165" fontId="2" fillId="0" borderId="0" xfId="0" applyNumberFormat="1" applyFont="1" applyBorder="1" applyAlignment="1" applyProtection="1">
      <alignment horizontal="center" vertical="center" wrapText="1"/>
    </xf>
    <xf numFmtId="165" fontId="4" fillId="15" borderId="5" xfId="3" applyFont="1" applyFill="1" applyBorder="1" applyAlignment="1" applyProtection="1">
      <alignment horizontal="right" vertical="center" wrapText="1"/>
      <protection locked="0"/>
    </xf>
    <xf numFmtId="2" fontId="14" fillId="3" borderId="39" xfId="0" applyNumberFormat="1" applyFont="1" applyFill="1" applyBorder="1" applyAlignment="1" applyProtection="1">
      <alignment horizontal="right" vertical="center" wrapText="1"/>
    </xf>
    <xf numFmtId="165" fontId="14" fillId="3" borderId="41" xfId="3" applyFont="1" applyFill="1" applyBorder="1" applyAlignment="1" applyProtection="1">
      <alignment horizontal="center" vertical="center" wrapText="1"/>
    </xf>
    <xf numFmtId="2" fontId="2" fillId="10" borderId="38" xfId="0" applyNumberFormat="1" applyFont="1" applyFill="1" applyBorder="1" applyAlignment="1" applyProtection="1">
      <alignment horizontal="center" vertical="center" wrapText="1"/>
    </xf>
    <xf numFmtId="2" fontId="4" fillId="10" borderId="39" xfId="0" applyNumberFormat="1" applyFont="1" applyFill="1" applyBorder="1" applyAlignment="1" applyProtection="1">
      <alignment horizontal="right" vertical="center" wrapText="1"/>
      <protection locked="0"/>
    </xf>
    <xf numFmtId="165" fontId="4" fillId="10" borderId="41" xfId="3" applyFont="1" applyFill="1" applyBorder="1" applyAlignment="1" applyProtection="1">
      <alignment horizontal="center" vertical="center" wrapText="1"/>
    </xf>
    <xf numFmtId="165" fontId="4" fillId="10" borderId="41" xfId="3" applyNumberFormat="1" applyFont="1" applyFill="1" applyBorder="1" applyAlignment="1" applyProtection="1">
      <alignment horizontal="center" vertical="center" wrapText="1"/>
    </xf>
    <xf numFmtId="0" fontId="16" fillId="8" borderId="4" xfId="0" applyFont="1" applyFill="1" applyBorder="1" applyAlignment="1" applyProtection="1">
      <alignment horizontal="centerContinuous"/>
    </xf>
    <xf numFmtId="0" fontId="16" fillId="8" borderId="1" xfId="0" applyFont="1" applyFill="1" applyBorder="1" applyAlignment="1" applyProtection="1">
      <alignment horizontal="centerContinuous"/>
    </xf>
    <xf numFmtId="0" fontId="16" fillId="8" borderId="2" xfId="0" applyFont="1" applyFill="1" applyBorder="1" applyAlignment="1" applyProtection="1">
      <alignment horizontal="centerContinuous"/>
    </xf>
    <xf numFmtId="0" fontId="3" fillId="0" borderId="0" xfId="0" applyFont="1" applyAlignment="1" applyProtection="1">
      <alignment horizontal="left"/>
    </xf>
    <xf numFmtId="0" fontId="19" fillId="8" borderId="0" xfId="0" applyFont="1" applyFill="1" applyAlignment="1" applyProtection="1">
      <alignment horizontal="left" vertical="center" wrapText="1" indent="1"/>
    </xf>
    <xf numFmtId="0" fontId="3" fillId="0" borderId="0" xfId="0" applyFont="1" applyAlignment="1" applyProtection="1"/>
    <xf numFmtId="0" fontId="16" fillId="4" borderId="0" xfId="0" applyFont="1" applyFill="1" applyAlignment="1" applyProtection="1">
      <alignment horizontal="left" vertical="center"/>
      <protection locked="0"/>
    </xf>
    <xf numFmtId="0" fontId="3" fillId="3" borderId="0" xfId="0" applyFont="1" applyFill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</xf>
    <xf numFmtId="168" fontId="6" fillId="4" borderId="0" xfId="0" applyNumberFormat="1" applyFont="1" applyFill="1" applyAlignment="1" applyProtection="1">
      <alignment horizontal="left" vertical="center"/>
      <protection locked="0"/>
    </xf>
    <xf numFmtId="0" fontId="32" fillId="8" borderId="15" xfId="0" applyFont="1" applyFill="1" applyBorder="1" applyAlignment="1" applyProtection="1">
      <alignment horizontal="left" vertical="top"/>
    </xf>
    <xf numFmtId="0" fontId="28" fillId="8" borderId="0" xfId="0" applyFont="1" applyFill="1" applyBorder="1" applyAlignment="1" applyProtection="1">
      <alignment horizontal="left" vertical="top"/>
    </xf>
    <xf numFmtId="0" fontId="28" fillId="8" borderId="16" xfId="0" applyFont="1" applyFill="1" applyBorder="1" applyAlignment="1" applyProtection="1">
      <alignment horizontal="left" vertical="top"/>
    </xf>
    <xf numFmtId="168" fontId="6" fillId="3" borderId="0" xfId="0" applyNumberFormat="1" applyFont="1" applyFill="1" applyAlignment="1" applyProtection="1">
      <alignment horizontal="left" vertical="center"/>
    </xf>
    <xf numFmtId="0" fontId="26" fillId="8" borderId="15" xfId="0" applyFont="1" applyFill="1" applyBorder="1" applyAlignment="1" applyProtection="1">
      <alignment horizontal="left" vertical="top"/>
    </xf>
    <xf numFmtId="0" fontId="26" fillId="8" borderId="0" xfId="0" applyFont="1" applyFill="1" applyBorder="1" applyAlignment="1" applyProtection="1">
      <alignment horizontal="left" vertical="top"/>
    </xf>
    <xf numFmtId="0" fontId="26" fillId="8" borderId="16" xfId="0" applyFont="1" applyFill="1" applyBorder="1" applyAlignment="1" applyProtection="1">
      <alignment horizontal="left" vertical="top"/>
    </xf>
    <xf numFmtId="0" fontId="19" fillId="8" borderId="15" xfId="0" applyFont="1" applyFill="1" applyBorder="1" applyAlignment="1" applyProtection="1">
      <alignment horizontal="center" vertical="top"/>
    </xf>
    <xf numFmtId="0" fontId="26" fillId="8" borderId="0" xfId="0" applyFont="1" applyFill="1" applyBorder="1" applyAlignment="1" applyProtection="1">
      <alignment horizontal="center" vertical="top"/>
    </xf>
    <xf numFmtId="0" fontId="26" fillId="8" borderId="16" xfId="0" applyFont="1" applyFill="1" applyBorder="1" applyAlignment="1" applyProtection="1">
      <alignment horizontal="center" vertical="top"/>
    </xf>
    <xf numFmtId="0" fontId="26" fillId="8" borderId="15" xfId="0" applyFont="1" applyFill="1" applyBorder="1" applyAlignment="1" applyProtection="1">
      <alignment horizontal="center" vertical="top"/>
    </xf>
    <xf numFmtId="0" fontId="32" fillId="8" borderId="10" xfId="0" applyFont="1" applyFill="1" applyBorder="1" applyAlignment="1" applyProtection="1">
      <alignment horizontal="left" vertical="top"/>
    </xf>
    <xf numFmtId="0" fontId="28" fillId="8" borderId="9" xfId="0" applyFont="1" applyFill="1" applyBorder="1" applyAlignment="1" applyProtection="1">
      <alignment horizontal="left" vertical="top"/>
    </xf>
    <xf numFmtId="0" fontId="28" fillId="8" borderId="11" xfId="0" applyFont="1" applyFill="1" applyBorder="1" applyAlignment="1" applyProtection="1">
      <alignment horizontal="left" vertical="top"/>
    </xf>
    <xf numFmtId="0" fontId="26" fillId="3" borderId="15" xfId="0" applyFont="1" applyFill="1" applyBorder="1" applyAlignment="1" applyProtection="1">
      <alignment horizontal="left" vertical="top"/>
    </xf>
    <xf numFmtId="0" fontId="26" fillId="3" borderId="0" xfId="0" applyFont="1" applyFill="1" applyBorder="1" applyAlignment="1" applyProtection="1">
      <alignment horizontal="left" vertical="top"/>
    </xf>
    <xf numFmtId="0" fontId="3" fillId="4" borderId="0" xfId="0" applyFont="1" applyFill="1" applyAlignment="1" applyProtection="1">
      <alignment horizontal="left" vertical="center"/>
      <protection locked="0"/>
    </xf>
    <xf numFmtId="0" fontId="17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28" fillId="3" borderId="15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 applyProtection="1">
      <alignment horizontal="left" vertical="top"/>
    </xf>
    <xf numFmtId="0" fontId="6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 wrapText="1"/>
    </xf>
    <xf numFmtId="0" fontId="5" fillId="0" borderId="0" xfId="0" applyFont="1" applyAlignment="1" applyProtection="1">
      <alignment horizontal="left" vertical="center" wrapText="1"/>
    </xf>
    <xf numFmtId="0" fontId="19" fillId="0" borderId="0" xfId="0" applyFont="1" applyAlignment="1" applyProtection="1">
      <alignment horizontal="center" vertical="center" textRotation="90" wrapText="1"/>
    </xf>
    <xf numFmtId="0" fontId="5" fillId="0" borderId="0" xfId="0" applyFont="1" applyAlignment="1" applyProtection="1">
      <alignment horizontal="left" wrapText="1"/>
    </xf>
    <xf numFmtId="0" fontId="24" fillId="0" borderId="0" xfId="0" applyFont="1" applyAlignment="1" applyProtection="1">
      <alignment horizontal="center" vertical="center" textRotation="90" wrapText="1"/>
    </xf>
    <xf numFmtId="0" fontId="18" fillId="4" borderId="24" xfId="0" applyFont="1" applyFill="1" applyBorder="1" applyAlignment="1" applyProtection="1">
      <alignment horizontal="center" vertical="center" wrapText="1"/>
    </xf>
    <xf numFmtId="0" fontId="18" fillId="4" borderId="25" xfId="0" applyFont="1" applyFill="1" applyBorder="1" applyAlignment="1" applyProtection="1">
      <alignment horizontal="center" vertical="center" wrapText="1"/>
    </xf>
    <xf numFmtId="0" fontId="30" fillId="4" borderId="17" xfId="0" applyFont="1" applyFill="1" applyBorder="1" applyAlignment="1" applyProtection="1">
      <alignment horizontal="center" vertical="center" wrapText="1"/>
    </xf>
    <xf numFmtId="0" fontId="0" fillId="4" borderId="18" xfId="0" applyFill="1" applyBorder="1" applyAlignment="1" applyProtection="1">
      <alignment horizontal="center" vertical="center" wrapText="1"/>
    </xf>
    <xf numFmtId="0" fontId="0" fillId="4" borderId="52" xfId="0" applyFill="1" applyBorder="1" applyAlignment="1" applyProtection="1">
      <alignment horizontal="center" vertical="center" wrapText="1"/>
    </xf>
    <xf numFmtId="0" fontId="6" fillId="0" borderId="0" xfId="0" applyFont="1" applyBorder="1" applyAlignment="1" applyProtection="1">
      <alignment horizontal="left" vertical="center"/>
    </xf>
    <xf numFmtId="14" fontId="10" fillId="0" borderId="0" xfId="0" applyNumberFormat="1" applyFont="1" applyAlignment="1" applyProtection="1">
      <alignment vertical="center"/>
    </xf>
    <xf numFmtId="0" fontId="8" fillId="2" borderId="24" xfId="0" applyFont="1" applyFill="1" applyBorder="1" applyAlignment="1" applyProtection="1">
      <alignment horizontal="center" vertical="center" wrapText="1"/>
    </xf>
    <xf numFmtId="0" fontId="8" fillId="2" borderId="25" xfId="0" applyFont="1" applyFill="1" applyBorder="1" applyAlignment="1" applyProtection="1">
      <alignment horizontal="center" vertical="center" wrapText="1"/>
    </xf>
    <xf numFmtId="0" fontId="8" fillId="2" borderId="26" xfId="0" applyFont="1" applyFill="1" applyBorder="1" applyAlignment="1" applyProtection="1">
      <alignment horizontal="center" vertical="center" wrapText="1"/>
    </xf>
    <xf numFmtId="0" fontId="8" fillId="2" borderId="32" xfId="0" applyFont="1" applyFill="1" applyBorder="1" applyAlignment="1" applyProtection="1">
      <alignment horizontal="center" vertical="center" wrapText="1"/>
    </xf>
    <xf numFmtId="0" fontId="8" fillId="2" borderId="0" xfId="0" applyFont="1" applyFill="1" applyBorder="1" applyAlignment="1" applyProtection="1">
      <alignment horizontal="center" vertical="center" wrapText="1"/>
    </xf>
    <xf numFmtId="0" fontId="5" fillId="0" borderId="0" xfId="0" applyFont="1" applyAlignment="1" applyProtection="1">
      <alignment horizontal="left" vertical="top" wrapText="1"/>
    </xf>
    <xf numFmtId="0" fontId="8" fillId="0" borderId="32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2" xfId="0" applyFont="1" applyFill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left" vertical="top" wrapText="1"/>
    </xf>
    <xf numFmtId="0" fontId="6" fillId="0" borderId="0" xfId="0" applyNumberFormat="1" applyFont="1" applyBorder="1" applyAlignment="1" applyProtection="1">
      <alignment horizontal="left" wrapText="1"/>
    </xf>
    <xf numFmtId="0" fontId="4" fillId="0" borderId="0" xfId="0" applyFont="1" applyBorder="1" applyAlignment="1" applyProtection="1">
      <alignment horizontal="left" vertical="center" wrapText="1"/>
    </xf>
    <xf numFmtId="0" fontId="1" fillId="0" borderId="0" xfId="0" applyNumberFormat="1" applyFont="1" applyBorder="1" applyAlignment="1" applyProtection="1">
      <alignment horizontal="left" vertical="center" wrapText="1"/>
    </xf>
    <xf numFmtId="0" fontId="8" fillId="0" borderId="16" xfId="0" applyFont="1" applyBorder="1" applyAlignment="1" applyProtection="1">
      <alignment horizontal="center" vertical="center" textRotation="90" wrapText="1"/>
    </xf>
    <xf numFmtId="0" fontId="6" fillId="0" borderId="0" xfId="0" applyNumberFormat="1" applyFont="1" applyBorder="1" applyAlignment="1" applyProtection="1">
      <alignment horizontal="left" vertical="center" wrapText="1"/>
    </xf>
    <xf numFmtId="0" fontId="4" fillId="0" borderId="0" xfId="0" applyNumberFormat="1" applyFont="1" applyBorder="1" applyAlignment="1" applyProtection="1">
      <alignment horizontal="left" vertical="center" wrapText="1"/>
    </xf>
  </cellXfs>
  <cellStyles count="8">
    <cellStyle name="Comma" xfId="1" builtinId="3"/>
    <cellStyle name="Comma 2" xfId="4"/>
    <cellStyle name="Currency" xfId="3" builtinId="4"/>
    <cellStyle name="Currency 2" xfId="5"/>
    <cellStyle name="Currency 3" xfId="6"/>
    <cellStyle name="Hyperlink" xfId="7" builtinId="8"/>
    <cellStyle name="Normal" xfId="0" builtinId="0"/>
    <cellStyle name="Percent" xfId="2" builtinId="5"/>
  </cellStyles>
  <dxfs count="2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  <name val="Arial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fill>
        <patternFill patternType="none"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64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rgb="FFFFFFC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numFmt numFmtId="164" formatCode="&quot;$&quot;#,##0.00_);\(&quot;$&quot;#,##0.00\)"/>
      <fill>
        <patternFill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&quot;$&quot;#,##0.00_);\(&quot;$&quot;#,##0.00\)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horizontal style="thin">
          <color indexed="64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0"/>
        <name val="Arial"/>
        <scheme val="none"/>
      </font>
      <fill>
        <patternFill>
          <fgColor indexed="64"/>
          <bgColor theme="0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EDA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medium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none">
          <fgColor rgb="FF000000"/>
          <bgColor auto="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CC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2" tint="-9.9948118533890809E-2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48118533890809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2" tint="-9.9948118533890809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rgb="FF000000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$&quot;#,##0.00"/>
      <fill>
        <patternFill patternType="solid">
          <fgColor rgb="FF000000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0" formatCode="m/d/yyyy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protection locked="1" hidden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2" tint="-9.9978637043366805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1" formatCode="yyyy\-mmm\-dd"/>
      <fill>
        <patternFill patternType="solid">
          <fgColor rgb="FF000000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5FCB6"/>
        </patternFill>
      </fill>
      <alignment horizontal="center" vertical="center" textRotation="0" wrapText="1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rgb="FFFF3300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9" tint="0.39994506668294322"/>
        </patternFill>
      </fill>
    </dxf>
  </dxfs>
  <tableStyles count="3" defaultTableStyle="TableStyleMedium2" defaultPivotStyle="PivotStyleLight16">
    <tableStyle name="MDRATable" pivot="0" count="0"/>
    <tableStyle name="Table Style 1" pivot="0" count="1">
      <tableStyleElement type="firstRowStripe" dxfId="224"/>
    </tableStyle>
    <tableStyle name="Table Style 2" pivot="0" count="1">
      <tableStyleElement type="wholeTable" dxfId="223"/>
    </tableStyle>
  </tableStyles>
  <colors>
    <mruColors>
      <color rgb="FFFF99CC"/>
      <color rgb="FFFF3399"/>
      <color rgb="FF800000"/>
      <color rgb="FF6600CC"/>
      <color rgb="FFBE0AA9"/>
      <color rgb="FFCC3300"/>
      <color rgb="FFFFFFCC"/>
      <color rgb="FFFFFEDA"/>
      <color rgb="FFF5FCB6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190499</xdr:colOff>
      <xdr:row>19</xdr:row>
      <xdr:rowOff>144300</xdr:rowOff>
    </xdr:from>
    <xdr:to>
      <xdr:col>36</xdr:col>
      <xdr:colOff>152780</xdr:colOff>
      <xdr:row>21</xdr:row>
      <xdr:rowOff>111629</xdr:rowOff>
    </xdr:to>
    <xdr:sp macro="[0]!GoToCapital" textlink="">
      <xdr:nvSpPr>
        <xdr:cNvPr id="8" name="Rounded Rectangle 7" descr="Open sheet to enter costs" title="Goods and Services Capital Costs"/>
        <xdr:cNvSpPr>
          <a:spLocks/>
        </xdr:cNvSpPr>
      </xdr:nvSpPr>
      <xdr:spPr>
        <a:xfrm>
          <a:off x="7810499" y="43948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181238</xdr:colOff>
      <xdr:row>17</xdr:row>
      <xdr:rowOff>38365</xdr:rowOff>
    </xdr:from>
    <xdr:to>
      <xdr:col>36</xdr:col>
      <xdr:colOff>142874</xdr:colOff>
      <xdr:row>19</xdr:row>
      <xdr:rowOff>29507</xdr:rowOff>
    </xdr:to>
    <xdr:sp macro="[0]!GoToOperating" textlink="">
      <xdr:nvSpPr>
        <xdr:cNvPr id="7" name="Rounded Rectangle 6" descr="Open sheet to enter costs" title="Goods and Services Operating Costs"/>
        <xdr:cNvSpPr/>
      </xdr:nvSpPr>
      <xdr:spPr>
        <a:xfrm>
          <a:off x="7801238" y="3895990"/>
          <a:ext cx="4105011" cy="384048"/>
        </a:xfrm>
        <a:prstGeom prst="roundRect">
          <a:avLst>
            <a:gd name="adj" fmla="val 13727"/>
          </a:avLst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tx1"/>
              </a:solidFill>
            </a:rPr>
            <a:t>Goods and Services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197114</xdr:colOff>
      <xdr:row>23</xdr:row>
      <xdr:rowOff>210343</xdr:rowOff>
    </xdr:from>
    <xdr:to>
      <xdr:col>36</xdr:col>
      <xdr:colOff>159395</xdr:colOff>
      <xdr:row>25</xdr:row>
      <xdr:rowOff>141954</xdr:rowOff>
    </xdr:to>
    <xdr:sp macro="[0]!GoToEmpCapital" textlink="">
      <xdr:nvSpPr>
        <xdr:cNvPr id="9" name="Rounded Rectangle 8" descr="Open sheet to enter costs" title="Employee Capital Costs"/>
        <xdr:cNvSpPr/>
      </xdr:nvSpPr>
      <xdr:spPr>
        <a:xfrm>
          <a:off x="7817114" y="5330031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Capital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202407</xdr:colOff>
      <xdr:row>21</xdr:row>
      <xdr:rowOff>190501</xdr:rowOff>
    </xdr:from>
    <xdr:to>
      <xdr:col>36</xdr:col>
      <xdr:colOff>164688</xdr:colOff>
      <xdr:row>23</xdr:row>
      <xdr:rowOff>123032</xdr:rowOff>
    </xdr:to>
    <xdr:sp macro="[0]!GoToEmpOperating" textlink="">
      <xdr:nvSpPr>
        <xdr:cNvPr id="10" name="Rounded Rectangle 9" descr="Open sheet to enter costs" title="Employee Operating Costs"/>
        <xdr:cNvSpPr/>
      </xdr:nvSpPr>
      <xdr:spPr>
        <a:xfrm>
          <a:off x="7822407" y="4857751"/>
          <a:ext cx="4105656" cy="3849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Employee Operating </a:t>
          </a:r>
          <a:r>
            <a:rPr lang="en-CA" sz="1400" b="1" baseline="0">
              <a:solidFill>
                <a:schemeClr val="tx1"/>
              </a:solidFill>
            </a:rPr>
            <a:t>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178594</xdr:colOff>
      <xdr:row>26</xdr:row>
      <xdr:rowOff>71438</xdr:rowOff>
    </xdr:from>
    <xdr:to>
      <xdr:col>36</xdr:col>
      <xdr:colOff>140875</xdr:colOff>
      <xdr:row>28</xdr:row>
      <xdr:rowOff>74486</xdr:rowOff>
    </xdr:to>
    <xdr:sp macro="[0]!GoToEquipOperating" textlink="">
      <xdr:nvSpPr>
        <xdr:cNvPr id="11" name="Rounded Rectangle 10" descr="Open sheet to enter costs" title="Claimant-Owned Equipment Operating Costs"/>
        <xdr:cNvSpPr/>
      </xdr:nvSpPr>
      <xdr:spPr>
        <a:xfrm>
          <a:off x="7798594" y="5834063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173303</xdr:colOff>
      <xdr:row>28</xdr:row>
      <xdr:rowOff>154781</xdr:rowOff>
    </xdr:from>
    <xdr:to>
      <xdr:col>36</xdr:col>
      <xdr:colOff>135584</xdr:colOff>
      <xdr:row>30</xdr:row>
      <xdr:rowOff>119063</xdr:rowOff>
    </xdr:to>
    <xdr:sp macro="[0]!GoToEquipCapital" textlink="">
      <xdr:nvSpPr>
        <xdr:cNvPr id="12" name="Rounded Rectangle 11" descr="Open sheet to enter costs" title="Claimant-Owned Equipment Capital Costs"/>
        <xdr:cNvSpPr/>
      </xdr:nvSpPr>
      <xdr:spPr>
        <a:xfrm>
          <a:off x="7793303" y="6298406"/>
          <a:ext cx="4105656" cy="38100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Claimant-Owned</a:t>
          </a:r>
          <a:r>
            <a:rPr lang="en-CA" sz="1400" b="1" baseline="0">
              <a:solidFill>
                <a:schemeClr val="tx1"/>
              </a:solidFill>
            </a:rPr>
            <a:t> Equipment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178595</xdr:colOff>
      <xdr:row>31</xdr:row>
      <xdr:rowOff>68390</xdr:rowOff>
    </xdr:from>
    <xdr:to>
      <xdr:col>36</xdr:col>
      <xdr:colOff>140876</xdr:colOff>
      <xdr:row>33</xdr:row>
      <xdr:rowOff>0</xdr:rowOff>
    </xdr:to>
    <xdr:sp macro="[0]!GoToRevenue" textlink="">
      <xdr:nvSpPr>
        <xdr:cNvPr id="13" name="Rounded Rectangle 12" descr="Open sheet to enter costs" title="Disaster Related Revenue"/>
        <xdr:cNvSpPr/>
      </xdr:nvSpPr>
      <xdr:spPr>
        <a:xfrm>
          <a:off x="7798595" y="680732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Natural Disaster</a:t>
          </a:r>
          <a:r>
            <a:rPr lang="en-CA" sz="1400" b="1" baseline="0">
              <a:solidFill>
                <a:schemeClr val="tx1"/>
              </a:solidFill>
            </a:rPr>
            <a:t> Related Revenue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161395</xdr:colOff>
      <xdr:row>33</xdr:row>
      <xdr:rowOff>83345</xdr:rowOff>
    </xdr:from>
    <xdr:to>
      <xdr:col>36</xdr:col>
      <xdr:colOff>123676</xdr:colOff>
      <xdr:row>35</xdr:row>
      <xdr:rowOff>11907</xdr:rowOff>
    </xdr:to>
    <xdr:sp macro="[0]!GoToSummary" textlink="">
      <xdr:nvSpPr>
        <xdr:cNvPr id="14" name="Rounded Rectangle 13" descr="Open sheet to enter costs" title="Final Claim Summary"/>
        <xdr:cNvSpPr/>
      </xdr:nvSpPr>
      <xdr:spPr>
        <a:xfrm>
          <a:off x="7781395" y="7274720"/>
          <a:ext cx="4105656" cy="381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Total Claim</a:t>
          </a:r>
          <a:r>
            <a:rPr lang="en-CA" sz="1400" b="1" baseline="0">
              <a:solidFill>
                <a:schemeClr val="tx1"/>
              </a:solidFill>
            </a:rPr>
            <a:t> Summary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173302</xdr:colOff>
      <xdr:row>35</xdr:row>
      <xdr:rowOff>142875</xdr:rowOff>
    </xdr:from>
    <xdr:to>
      <xdr:col>36</xdr:col>
      <xdr:colOff>135583</xdr:colOff>
      <xdr:row>37</xdr:row>
      <xdr:rowOff>74485</xdr:rowOff>
    </xdr:to>
    <xdr:sp macro="[0]!GoToFuture" textlink="">
      <xdr:nvSpPr>
        <xdr:cNvPr id="17" name="Rounded Rectangle 16" descr="Open sheet to enter costs" title="Calculating Future Estimated Costs"/>
        <xdr:cNvSpPr/>
      </xdr:nvSpPr>
      <xdr:spPr>
        <a:xfrm>
          <a:off x="7793302" y="7786688"/>
          <a:ext cx="4105656" cy="38404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Future </a:t>
          </a:r>
          <a:r>
            <a:rPr lang="en-CA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Estimated Costs 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185208</xdr:colOff>
      <xdr:row>37</xdr:row>
      <xdr:rowOff>214312</xdr:rowOff>
    </xdr:from>
    <xdr:to>
      <xdr:col>36</xdr:col>
      <xdr:colOff>147489</xdr:colOff>
      <xdr:row>39</xdr:row>
      <xdr:rowOff>145922</xdr:rowOff>
    </xdr:to>
    <xdr:sp macro="[0]!GoToAttest" textlink="">
      <xdr:nvSpPr>
        <xdr:cNvPr id="16" name="Rounded Rectangle 15" descr="Go to sheet to attest to the claim" title="Attestation Form"/>
        <xdr:cNvSpPr/>
      </xdr:nvSpPr>
      <xdr:spPr>
        <a:xfrm>
          <a:off x="7805208" y="8310562"/>
          <a:ext cx="4105656" cy="38404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Claim Attestation Form</a:t>
          </a:r>
          <a:endParaRPr lang="en-CA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168088</xdr:colOff>
      <xdr:row>31</xdr:row>
      <xdr:rowOff>71436</xdr:rowOff>
    </xdr:from>
    <xdr:to>
      <xdr:col>6</xdr:col>
      <xdr:colOff>272673</xdr:colOff>
      <xdr:row>35</xdr:row>
      <xdr:rowOff>71437</xdr:rowOff>
    </xdr:to>
    <xdr:sp macro="[0]!ShowAll" textlink="">
      <xdr:nvSpPr>
        <xdr:cNvPr id="18" name="Rounded Rectangle 17" descr="Unhide all sheets in the workbook so that you can print the entire workbook" title="Show Sheets Button"/>
        <xdr:cNvSpPr/>
      </xdr:nvSpPr>
      <xdr:spPr>
        <a:xfrm>
          <a:off x="763401" y="6810374"/>
          <a:ext cx="2176272" cy="90487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 All Tabs</a:t>
          </a: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(Must be opened to print  entire workbook)</a:t>
          </a:r>
          <a:endParaRPr lang="en-CA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201707</xdr:colOff>
      <xdr:row>31</xdr:row>
      <xdr:rowOff>89646</xdr:rowOff>
    </xdr:from>
    <xdr:to>
      <xdr:col>15</xdr:col>
      <xdr:colOff>212911</xdr:colOff>
      <xdr:row>35</xdr:row>
      <xdr:rowOff>83342</xdr:rowOff>
    </xdr:to>
    <xdr:sp macro="[0]!HideAll" textlink="">
      <xdr:nvSpPr>
        <xdr:cNvPr id="19" name="Rounded Rectangle 18" descr="Hides all sheets in the workbook except the claimant home page and the attestation form" title="Hide Sheets Button"/>
        <xdr:cNvSpPr/>
      </xdr:nvSpPr>
      <xdr:spPr>
        <a:xfrm>
          <a:off x="3487832" y="6828584"/>
          <a:ext cx="2178142" cy="898571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2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Hide All Tabs</a:t>
          </a:r>
          <a:endParaRPr lang="en-CA" sz="20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1639094</xdr:colOff>
      <xdr:row>1</xdr:row>
      <xdr:rowOff>210343</xdr:rowOff>
    </xdr:from>
    <xdr:to>
      <xdr:col>5</xdr:col>
      <xdr:colOff>714375</xdr:colOff>
      <xdr:row>1</xdr:row>
      <xdr:rowOff>570343</xdr:rowOff>
    </xdr:to>
    <xdr:sp macro="[0]!SwitchToCapital" textlink="">
      <xdr:nvSpPr>
        <xdr:cNvPr id="6" name="Rounded Rectangle 5"/>
        <xdr:cNvSpPr/>
      </xdr:nvSpPr>
      <xdr:spPr>
        <a:xfrm>
          <a:off x="4139407" y="996156"/>
          <a:ext cx="276621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1417637</xdr:colOff>
      <xdr:row>1</xdr:row>
      <xdr:rowOff>199230</xdr:rowOff>
    </xdr:from>
    <xdr:to>
      <xdr:col>6</xdr:col>
      <xdr:colOff>603249</xdr:colOff>
      <xdr:row>1</xdr:row>
      <xdr:rowOff>559230</xdr:rowOff>
    </xdr:to>
    <xdr:sp macro="[0]!GoHome" textlink="">
      <xdr:nvSpPr>
        <xdr:cNvPr id="7" name="Rounded Rectangle 6"/>
        <xdr:cNvSpPr/>
      </xdr:nvSpPr>
      <xdr:spPr>
        <a:xfrm>
          <a:off x="7608887" y="985043"/>
          <a:ext cx="235267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9</xdr:col>
      <xdr:colOff>104775</xdr:colOff>
      <xdr:row>21</xdr:row>
      <xdr:rowOff>76200</xdr:rowOff>
    </xdr:from>
    <xdr:to>
      <xdr:col>10</xdr:col>
      <xdr:colOff>211932</xdr:colOff>
      <xdr:row>23</xdr:row>
      <xdr:rowOff>45674</xdr:rowOff>
    </xdr:to>
    <xdr:sp macro="[0]!AddRow" textlink="">
      <xdr:nvSpPr>
        <xdr:cNvPr id="5" name="Rounded Rectangle 4"/>
        <xdr:cNvSpPr/>
      </xdr:nvSpPr>
      <xdr:spPr>
        <a:xfrm>
          <a:off x="13525500" y="5629275"/>
          <a:ext cx="11906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523875</xdr:colOff>
      <xdr:row>0</xdr:row>
      <xdr:rowOff>639759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40719" cy="639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1706564</xdr:colOff>
      <xdr:row>1</xdr:row>
      <xdr:rowOff>11378</xdr:rowOff>
    </xdr:from>
    <xdr:to>
      <xdr:col>5</xdr:col>
      <xdr:colOff>1833562</xdr:colOff>
      <xdr:row>1</xdr:row>
      <xdr:rowOff>371378</xdr:rowOff>
    </xdr:to>
    <xdr:sp macro="[0]!SwitchToOperating" textlink="">
      <xdr:nvSpPr>
        <xdr:cNvPr id="4" name="Rounded Rectangle 3"/>
        <xdr:cNvSpPr/>
      </xdr:nvSpPr>
      <xdr:spPr>
        <a:xfrm>
          <a:off x="4218783" y="963878"/>
          <a:ext cx="298449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2469885</xdr:colOff>
      <xdr:row>1</xdr:row>
      <xdr:rowOff>27253</xdr:rowOff>
    </xdr:from>
    <xdr:to>
      <xdr:col>7</xdr:col>
      <xdr:colOff>173302</xdr:colOff>
      <xdr:row>1</xdr:row>
      <xdr:rowOff>387253</xdr:rowOff>
    </xdr:to>
    <xdr:sp macro="[0]!GoHome" textlink="">
      <xdr:nvSpPr>
        <xdr:cNvPr id="5" name="Rounded Rectangle 4"/>
        <xdr:cNvSpPr/>
      </xdr:nvSpPr>
      <xdr:spPr>
        <a:xfrm>
          <a:off x="7839604" y="979753"/>
          <a:ext cx="2513542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10</xdr:col>
      <xdr:colOff>38100</xdr:colOff>
      <xdr:row>20</xdr:row>
      <xdr:rowOff>85725</xdr:rowOff>
    </xdr:from>
    <xdr:to>
      <xdr:col>11</xdr:col>
      <xdr:colOff>117475</xdr:colOff>
      <xdr:row>22</xdr:row>
      <xdr:rowOff>52025</xdr:rowOff>
    </xdr:to>
    <xdr:sp macro="[0]!AddRow" textlink="">
      <xdr:nvSpPr>
        <xdr:cNvPr id="6" name="Rounded Rectangle 5"/>
        <xdr:cNvSpPr/>
      </xdr:nvSpPr>
      <xdr:spPr>
        <a:xfrm>
          <a:off x="13363575" y="6000750"/>
          <a:ext cx="1181100" cy="35682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1</xdr:colOff>
      <xdr:row>0</xdr:row>
      <xdr:rowOff>1</xdr:rowOff>
    </xdr:from>
    <xdr:to>
      <xdr:col>3</xdr:col>
      <xdr:colOff>400865</xdr:colOff>
      <xdr:row>0</xdr:row>
      <xdr:rowOff>595313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242096</xdr:colOff>
      <xdr:row>0</xdr:row>
      <xdr:rowOff>867834</xdr:rowOff>
    </xdr:from>
    <xdr:to>
      <xdr:col>7</xdr:col>
      <xdr:colOff>472813</xdr:colOff>
      <xdr:row>2</xdr:row>
      <xdr:rowOff>1853</xdr:rowOff>
    </xdr:to>
    <xdr:sp macro="[0]!SwitchToEmpCapital" textlink="">
      <xdr:nvSpPr>
        <xdr:cNvPr id="4" name="Rounded Rectangle 3"/>
        <xdr:cNvSpPr/>
      </xdr:nvSpPr>
      <xdr:spPr>
        <a:xfrm>
          <a:off x="4316679" y="867834"/>
          <a:ext cx="2717801" cy="39343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130702</xdr:colOff>
      <xdr:row>0</xdr:row>
      <xdr:rowOff>846667</xdr:rowOff>
    </xdr:from>
    <xdr:to>
      <xdr:col>10</xdr:col>
      <xdr:colOff>494769</xdr:colOff>
      <xdr:row>1</xdr:row>
      <xdr:rowOff>380734</xdr:rowOff>
    </xdr:to>
    <xdr:sp macro="[0]!GoHome" textlink="">
      <xdr:nvSpPr>
        <xdr:cNvPr id="5" name="Rounded Rectangle 4"/>
        <xdr:cNvSpPr/>
      </xdr:nvSpPr>
      <xdr:spPr>
        <a:xfrm>
          <a:off x="7401452" y="846667"/>
          <a:ext cx="2702984" cy="41248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47625</xdr:colOff>
      <xdr:row>42</xdr:row>
      <xdr:rowOff>66675</xdr:rowOff>
    </xdr:from>
    <xdr:to>
      <xdr:col>14</xdr:col>
      <xdr:colOff>350043</xdr:colOff>
      <xdr:row>44</xdr:row>
      <xdr:rowOff>64723</xdr:rowOff>
    </xdr:to>
    <xdr:sp macro="[0]!AddRow" textlink="">
      <xdr:nvSpPr>
        <xdr:cNvPr id="6" name="Rounded Rectangle 5"/>
        <xdr:cNvSpPr/>
      </xdr:nvSpPr>
      <xdr:spPr>
        <a:xfrm>
          <a:off x="13982700" y="7696200"/>
          <a:ext cx="1266825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21167</xdr:rowOff>
    </xdr:from>
    <xdr:to>
      <xdr:col>3</xdr:col>
      <xdr:colOff>167678</xdr:colOff>
      <xdr:row>0</xdr:row>
      <xdr:rowOff>603251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7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1322</xdr:colOff>
      <xdr:row>0</xdr:row>
      <xdr:rowOff>1063624</xdr:rowOff>
    </xdr:from>
    <xdr:to>
      <xdr:col>7</xdr:col>
      <xdr:colOff>740833</xdr:colOff>
      <xdr:row>1</xdr:row>
      <xdr:rowOff>400843</xdr:rowOff>
    </xdr:to>
    <xdr:sp macro="[0]!SwitchToEmpOperating" textlink="">
      <xdr:nvSpPr>
        <xdr:cNvPr id="4" name="Rounded Rectangle 3"/>
        <xdr:cNvSpPr/>
      </xdr:nvSpPr>
      <xdr:spPr>
        <a:xfrm>
          <a:off x="4732072" y="1063624"/>
          <a:ext cx="2962011" cy="41671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678656</xdr:colOff>
      <xdr:row>0</xdr:row>
      <xdr:rowOff>1062301</xdr:rowOff>
    </xdr:from>
    <xdr:to>
      <xdr:col>10</xdr:col>
      <xdr:colOff>1107281</xdr:colOff>
      <xdr:row>1</xdr:row>
      <xdr:rowOff>387614</xdr:rowOff>
    </xdr:to>
    <xdr:sp macro="[0]!GoHome" textlink="">
      <xdr:nvSpPr>
        <xdr:cNvPr id="5" name="Rounded Rectangle 4"/>
        <xdr:cNvSpPr/>
      </xdr:nvSpPr>
      <xdr:spPr>
        <a:xfrm>
          <a:off x="8118739" y="1062301"/>
          <a:ext cx="2725209" cy="40481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13</xdr:col>
      <xdr:colOff>166688</xdr:colOff>
      <xdr:row>30</xdr:row>
      <xdr:rowOff>83344</xdr:rowOff>
    </xdr:from>
    <xdr:to>
      <xdr:col>14</xdr:col>
      <xdr:colOff>35718</xdr:colOff>
      <xdr:row>32</xdr:row>
      <xdr:rowOff>71872</xdr:rowOff>
    </xdr:to>
    <xdr:sp macro="[0]!AddRow" textlink="">
      <xdr:nvSpPr>
        <xdr:cNvPr id="7" name="Rounded Rectangle 6"/>
        <xdr:cNvSpPr/>
      </xdr:nvSpPr>
      <xdr:spPr>
        <a:xfrm>
          <a:off x="15216188" y="7846219"/>
          <a:ext cx="1202531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52916</xdr:colOff>
      <xdr:row>0</xdr:row>
      <xdr:rowOff>42333</xdr:rowOff>
    </xdr:from>
    <xdr:to>
      <xdr:col>3</xdr:col>
      <xdr:colOff>40677</xdr:colOff>
      <xdr:row>0</xdr:row>
      <xdr:rowOff>624417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916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207698</xdr:colOff>
      <xdr:row>2</xdr:row>
      <xdr:rowOff>224631</xdr:rowOff>
    </xdr:from>
    <xdr:to>
      <xdr:col>8</xdr:col>
      <xdr:colOff>27782</xdr:colOff>
      <xdr:row>2</xdr:row>
      <xdr:rowOff>571500</xdr:rowOff>
    </xdr:to>
    <xdr:sp macro="[0]!SwitchToEquipCapital" textlink="">
      <xdr:nvSpPr>
        <xdr:cNvPr id="2" name="Rounded Rectangle 1"/>
        <xdr:cNvSpPr/>
      </xdr:nvSpPr>
      <xdr:spPr>
        <a:xfrm>
          <a:off x="3721365" y="1028964"/>
          <a:ext cx="2836334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  Switch</a:t>
          </a:r>
          <a:r>
            <a:rPr lang="en-CA" sz="1400" b="1" baseline="0">
              <a:solidFill>
                <a:schemeClr val="tx1"/>
              </a:solidFill>
            </a:rPr>
            <a:t> to Enter Capital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411692</xdr:colOff>
      <xdr:row>2</xdr:row>
      <xdr:rowOff>235214</xdr:rowOff>
    </xdr:from>
    <xdr:to>
      <xdr:col>10</xdr:col>
      <xdr:colOff>235479</xdr:colOff>
      <xdr:row>2</xdr:row>
      <xdr:rowOff>582083</xdr:rowOff>
    </xdr:to>
    <xdr:sp macro="[0]!GoHome" textlink="">
      <xdr:nvSpPr>
        <xdr:cNvPr id="3" name="Rounded Rectangle 2"/>
        <xdr:cNvSpPr/>
      </xdr:nvSpPr>
      <xdr:spPr>
        <a:xfrm>
          <a:off x="6941609" y="1039547"/>
          <a:ext cx="2300287" cy="34686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38100</xdr:colOff>
      <xdr:row>32</xdr:row>
      <xdr:rowOff>57150</xdr:rowOff>
    </xdr:from>
    <xdr:to>
      <xdr:col>11</xdr:col>
      <xdr:colOff>1219200</xdr:colOff>
      <xdr:row>34</xdr:row>
      <xdr:rowOff>93300</xdr:rowOff>
    </xdr:to>
    <xdr:sp macro="[0]!AddRow" textlink="">
      <xdr:nvSpPr>
        <xdr:cNvPr id="4" name="Rounded Rectangle 3"/>
        <xdr:cNvSpPr/>
      </xdr:nvSpPr>
      <xdr:spPr>
        <a:xfrm>
          <a:off x="14049375" y="7820025"/>
          <a:ext cx="1181100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0</xdr:col>
      <xdr:colOff>21167</xdr:colOff>
      <xdr:row>0</xdr:row>
      <xdr:rowOff>21168</xdr:rowOff>
    </xdr:from>
    <xdr:to>
      <xdr:col>3</xdr:col>
      <xdr:colOff>548678</xdr:colOff>
      <xdr:row>0</xdr:row>
      <xdr:rowOff>603252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67" y="21168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33072</xdr:colOff>
      <xdr:row>1</xdr:row>
      <xdr:rowOff>130705</xdr:rowOff>
    </xdr:from>
    <xdr:to>
      <xdr:col>7</xdr:col>
      <xdr:colOff>508000</xdr:colOff>
      <xdr:row>1</xdr:row>
      <xdr:rowOff>508000</xdr:rowOff>
    </xdr:to>
    <xdr:sp macro="[0]!SwitchToEquipOperating" textlink="">
      <xdr:nvSpPr>
        <xdr:cNvPr id="2" name="Rounded Rectangle 1"/>
        <xdr:cNvSpPr/>
      </xdr:nvSpPr>
      <xdr:spPr>
        <a:xfrm>
          <a:off x="3895989" y="797455"/>
          <a:ext cx="2983178" cy="377295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400" b="1">
              <a:solidFill>
                <a:schemeClr val="tx1"/>
              </a:solidFill>
            </a:rPr>
            <a:t>Switch</a:t>
          </a:r>
          <a:r>
            <a:rPr lang="en-CA" sz="1400" b="1" baseline="0">
              <a:solidFill>
                <a:schemeClr val="tx1"/>
              </a:solidFill>
            </a:rPr>
            <a:t> to Enter Operating Costs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350304</xdr:colOff>
      <xdr:row>1</xdr:row>
      <xdr:rowOff>94986</xdr:rowOff>
    </xdr:from>
    <xdr:to>
      <xdr:col>10</xdr:col>
      <xdr:colOff>152396</xdr:colOff>
      <xdr:row>1</xdr:row>
      <xdr:rowOff>508000</xdr:rowOff>
    </xdr:to>
    <xdr:sp macro="[0]!GoHome" textlink="">
      <xdr:nvSpPr>
        <xdr:cNvPr id="3" name="Rounded Rectangle 2"/>
        <xdr:cNvSpPr/>
      </xdr:nvSpPr>
      <xdr:spPr>
        <a:xfrm>
          <a:off x="7610471" y="761736"/>
          <a:ext cx="2310342" cy="41301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436825</xdr:colOff>
      <xdr:row>25</xdr:row>
      <xdr:rowOff>139701</xdr:rowOff>
    </xdr:from>
    <xdr:to>
      <xdr:col>11</xdr:col>
      <xdr:colOff>1595966</xdr:colOff>
      <xdr:row>28</xdr:row>
      <xdr:rowOff>2286</xdr:rowOff>
    </xdr:to>
    <xdr:sp macro="[0]!AddRow" textlink="">
      <xdr:nvSpPr>
        <xdr:cNvPr id="4" name="Rounded Rectangle 3"/>
        <xdr:cNvSpPr/>
      </xdr:nvSpPr>
      <xdr:spPr>
        <a:xfrm>
          <a:off x="12009700" y="5702301"/>
          <a:ext cx="1168666" cy="364234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52917</xdr:colOff>
      <xdr:row>0</xdr:row>
      <xdr:rowOff>42333</xdr:rowOff>
    </xdr:from>
    <xdr:to>
      <xdr:col>3</xdr:col>
      <xdr:colOff>538094</xdr:colOff>
      <xdr:row>0</xdr:row>
      <xdr:rowOff>624417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42333"/>
          <a:ext cx="1765761" cy="582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2114282</xdr:colOff>
      <xdr:row>0</xdr:row>
      <xdr:rowOff>197378</xdr:rowOff>
    </xdr:from>
    <xdr:to>
      <xdr:col>4</xdr:col>
      <xdr:colOff>259025</xdr:colOff>
      <xdr:row>1</xdr:row>
      <xdr:rowOff>102295</xdr:rowOff>
    </xdr:to>
    <xdr:sp macro="[0]!GoHome" textlink="">
      <xdr:nvSpPr>
        <xdr:cNvPr id="3" name="Rounded Rectangle 2"/>
        <xdr:cNvSpPr/>
      </xdr:nvSpPr>
      <xdr:spPr>
        <a:xfrm>
          <a:off x="4929449" y="197378"/>
          <a:ext cx="2356909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1007267</xdr:colOff>
      <xdr:row>20</xdr:row>
      <xdr:rowOff>85725</xdr:rowOff>
    </xdr:from>
    <xdr:to>
      <xdr:col>6</xdr:col>
      <xdr:colOff>885825</xdr:colOff>
      <xdr:row>22</xdr:row>
      <xdr:rowOff>102825</xdr:rowOff>
    </xdr:to>
    <xdr:sp macro="[0]!AddRow" textlink="">
      <xdr:nvSpPr>
        <xdr:cNvPr id="4" name="Rounded Rectangle 3"/>
        <xdr:cNvSpPr/>
      </xdr:nvSpPr>
      <xdr:spPr>
        <a:xfrm>
          <a:off x="9151142" y="5486400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3484034</xdr:colOff>
      <xdr:row>0</xdr:row>
      <xdr:rowOff>324908</xdr:rowOff>
    </xdr:from>
    <xdr:to>
      <xdr:col>4</xdr:col>
      <xdr:colOff>500592</xdr:colOff>
      <xdr:row>1</xdr:row>
      <xdr:rowOff>132458</xdr:rowOff>
    </xdr:to>
    <xdr:sp macro="[0]!GoHome" textlink="">
      <xdr:nvSpPr>
        <xdr:cNvPr id="2" name="Rounded Rectangle 1"/>
        <xdr:cNvSpPr/>
      </xdr:nvSpPr>
      <xdr:spPr>
        <a:xfrm>
          <a:off x="4277784" y="324908"/>
          <a:ext cx="2361141" cy="357883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1369218</xdr:colOff>
      <xdr:row>1</xdr:row>
      <xdr:rowOff>371739</xdr:rowOff>
    </xdr:from>
    <xdr:to>
      <xdr:col>3</xdr:col>
      <xdr:colOff>3774282</xdr:colOff>
      <xdr:row>1</xdr:row>
      <xdr:rowOff>733856</xdr:rowOff>
    </xdr:to>
    <xdr:sp macro="[0]!GoHome" textlink="">
      <xdr:nvSpPr>
        <xdr:cNvPr id="5" name="Rounded Rectangle 4"/>
        <xdr:cNvSpPr/>
      </xdr:nvSpPr>
      <xdr:spPr>
        <a:xfrm>
          <a:off x="5158051" y="816239"/>
          <a:ext cx="2405064" cy="362117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1383508</xdr:colOff>
      <xdr:row>37</xdr:row>
      <xdr:rowOff>42500</xdr:rowOff>
    </xdr:to>
    <xdr:sp macro="[0]!AddRow" textlink="">
      <xdr:nvSpPr>
        <xdr:cNvPr id="4" name="Rounded Rectangle 3"/>
        <xdr:cNvSpPr/>
      </xdr:nvSpPr>
      <xdr:spPr>
        <a:xfrm>
          <a:off x="13514917" y="7418917"/>
          <a:ext cx="1383508" cy="3600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Add A Row</a:t>
          </a:r>
        </a:p>
      </xdr:txBody>
    </xdr:sp>
    <xdr:clientData/>
  </xdr:twoCellAnchor>
  <xdr:twoCellAnchor editAs="oneCell">
    <xdr:from>
      <xdr:col>1</xdr:col>
      <xdr:colOff>42333</xdr:colOff>
      <xdr:row>0</xdr:row>
      <xdr:rowOff>0</xdr:rowOff>
    </xdr:from>
    <xdr:to>
      <xdr:col>2</xdr:col>
      <xdr:colOff>463041</xdr:colOff>
      <xdr:row>1</xdr:row>
      <xdr:rowOff>150812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0"/>
          <a:ext cx="1817708" cy="595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8</xdr:col>
      <xdr:colOff>0</xdr:colOff>
      <xdr:row>9</xdr:row>
      <xdr:rowOff>35718</xdr:rowOff>
    </xdr:to>
    <xdr:sp macro="" textlink="">
      <xdr:nvSpPr>
        <xdr:cNvPr id="3" name="TextBox 2"/>
        <xdr:cNvSpPr txBox="1"/>
      </xdr:nvSpPr>
      <xdr:spPr>
        <a:xfrm>
          <a:off x="202406" y="1095377"/>
          <a:ext cx="12299157" cy="1535904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200" b="1">
              <a:latin typeface="Arial" panose="020B0604020202020204" pitchFamily="34" charset="0"/>
              <a:cs typeface="Arial" panose="020B0604020202020204" pitchFamily="34" charset="0"/>
            </a:rPr>
            <a:t>Attestation:</a:t>
          </a:r>
        </a:p>
        <a:p>
          <a:pPr algn="l"/>
          <a:endParaRPr lang="en-CA" sz="1200" b="1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have reviewed the claim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and the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attached supporting documentation, and have personally verified that any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copies are a true and accurate representation of the originals. Expenses and revenues noted in the claim submission accurately reflect incremental costs incurred as a result of a natural disaster.  I have verified and attest that estimated costs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and supporting documentation noted in the claim submission</a:t>
          </a:r>
          <a:r>
            <a:rPr lang="en-CA" sz="1100" b="1" baseline="0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 </a:t>
          </a:r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accurately reflect estimated future costs that will be incurred as a result of a natural disaster. </a:t>
          </a:r>
        </a:p>
        <a:p>
          <a:pPr algn="l"/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r>
            <a:rPr lang="en-CA" sz="1100" b="1">
              <a:solidFill>
                <a:schemeClr val="dk1"/>
              </a:solidFill>
              <a:effectLst/>
              <a:latin typeface="+mj-lt"/>
              <a:ea typeface="+mn-ea"/>
              <a:cs typeface="+mn-cs"/>
            </a:rPr>
            <a:t>I also confirm that, to the best of my knowledge and understanding, expenses submitted meet the eligibility criteria outlined in the Municipal Disaster Recovery Assistance guidelines.  I have been authorized by municipal council to submit this claim.</a:t>
          </a:r>
          <a:endParaRPr lang="en-CA" sz="1100">
            <a:solidFill>
              <a:schemeClr val="dk1"/>
            </a:solidFill>
            <a:effectLst/>
            <a:latin typeface="+mj-lt"/>
            <a:ea typeface="+mn-ea"/>
            <a:cs typeface="+mn-cs"/>
          </a:endParaRPr>
        </a:p>
        <a:p>
          <a:pPr algn="l"/>
          <a:endParaRPr lang="en-CA" sz="1200" b="1">
            <a:latin typeface="+mj-lt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990600</xdr:colOff>
          <xdr:row>11</xdr:row>
          <xdr:rowOff>28575</xdr:rowOff>
        </xdr:from>
        <xdr:to>
          <xdr:col>1</xdr:col>
          <xdr:colOff>1247775</xdr:colOff>
          <xdr:row>13</xdr:row>
          <xdr:rowOff>66675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647699</xdr:colOff>
      <xdr:row>23</xdr:row>
      <xdr:rowOff>137584</xdr:rowOff>
    </xdr:from>
    <xdr:to>
      <xdr:col>4</xdr:col>
      <xdr:colOff>228599</xdr:colOff>
      <xdr:row>28</xdr:row>
      <xdr:rowOff>74085</xdr:rowOff>
    </xdr:to>
    <xdr:sp macro="" textlink="">
      <xdr:nvSpPr>
        <xdr:cNvPr id="5" name="TextBox 4"/>
        <xdr:cNvSpPr txBox="1"/>
      </xdr:nvSpPr>
      <xdr:spPr>
        <a:xfrm>
          <a:off x="1960032" y="5693834"/>
          <a:ext cx="5846234" cy="7725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100"/>
            <a:t>* A hand-written signature is required. Once</a:t>
          </a:r>
          <a:r>
            <a:rPr lang="en-CA" sz="1100" baseline="0"/>
            <a:t> signed, please scan this attestation to an electronic format ( e.g. PDF) and include it with your claim submission. Typed or electronic signatures will not be accepted. Please ensure that the claims forms are submitted electronically in Excel ( not PDF).</a:t>
          </a:r>
          <a:endParaRPr lang="en-CA" sz="1100"/>
        </a:p>
      </xdr:txBody>
    </xdr:sp>
    <xdr:clientData/>
  </xdr:twoCellAnchor>
  <xdr:twoCellAnchor editAs="absolute">
    <xdr:from>
      <xdr:col>3</xdr:col>
      <xdr:colOff>2831041</xdr:colOff>
      <xdr:row>0</xdr:row>
      <xdr:rowOff>105833</xdr:rowOff>
    </xdr:from>
    <xdr:to>
      <xdr:col>4</xdr:col>
      <xdr:colOff>153458</xdr:colOff>
      <xdr:row>0</xdr:row>
      <xdr:rowOff>473771</xdr:rowOff>
    </xdr:to>
    <xdr:sp macro="[0]!GoHomeDontClose" textlink="">
      <xdr:nvSpPr>
        <xdr:cNvPr id="6" name="Rounded Rectangle 5"/>
        <xdr:cNvSpPr/>
      </xdr:nvSpPr>
      <xdr:spPr>
        <a:xfrm>
          <a:off x="5423958" y="105833"/>
          <a:ext cx="2487083" cy="36793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400" b="1">
              <a:solidFill>
                <a:schemeClr val="tx1"/>
              </a:solidFill>
            </a:rPr>
            <a:t>Go Back</a:t>
          </a:r>
          <a:r>
            <a:rPr lang="en-CA" sz="1400" b="1" baseline="0">
              <a:solidFill>
                <a:schemeClr val="tx1"/>
              </a:solidFill>
            </a:rPr>
            <a:t> to Home Page</a:t>
          </a:r>
          <a:endParaRPr lang="en-CA" sz="1400" b="1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3" name="Table7716" displayName="Table7716" ref="C6:K10" totalsRowShown="0" headerRowDxfId="220" dataDxfId="218" headerRowBorderDxfId="219" tableBorderDxfId="217" totalsRowBorderDxfId="216">
  <tableColumns count="9">
    <tableColumn id="5" name="Work Start Date YYYY/MM/DD" dataDxfId="215"/>
    <tableColumn id="1" name="Work End Date YYYY/MM/DD" dataDxfId="214"/>
    <tableColumn id="3" name="Goods/Services Supplier" dataDxfId="213"/>
    <tableColumn id="4" name="Description of Work" dataDxfId="212"/>
    <tableColumn id="6" name="Eligible Cost (Excluding HST)" dataDxfId="211" dataCellStyle="Currency"/>
    <tableColumn id="8" name="Unrecoverable HST   calculated at 1.76% "/>
    <tableColumn id="9" name="Unrecoverable HST - NOT calculated at 1.76% (must be manually entered)"/>
    <tableColumn id="2" name="Total: Eligible Cost + Unrecoverable HST" dataDxfId="210" dataCellStyle="Currency"/>
    <tableColumn id="7" name="Document Reference Page Number" dataDxfId="2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4" name="GSOperating" displayName="GSOperating" ref="C11:K21" totalsRowShown="0" headerRowDxfId="208" dataDxfId="206" headerRowBorderDxfId="207" tableBorderDxfId="205" totalsRowBorderDxfId="204">
  <autoFilter ref="C11:K21"/>
  <tableColumns count="9">
    <tableColumn id="5" name="Start" dataDxfId="203"/>
    <tableColumn id="1" name="End" dataDxfId="202"/>
    <tableColumn id="3" name="Goods /Services Supplier" dataDxfId="201"/>
    <tableColumn id="4" name="Description of the work" dataDxfId="200"/>
    <tableColumn id="6" name="Cost(ExclHST)" dataDxfId="199" dataCellStyle="Currency"/>
    <tableColumn id="8" name="Unrecoverable" dataDxfId="198" dataCellStyle="Currency">
      <calculatedColumnFormula>IF(ISBLANK(GSOperating[[#This Row],[UnrecoverableNotCalc]]), GSOperating[[#This Row],[Cost(ExclHST)]]*0.0176, 0)</calculatedColumnFormula>
    </tableColumn>
    <tableColumn id="9" name="UnrecoverableNotCalc" dataDxfId="197" dataCellStyle="Currency"/>
    <tableColumn id="2" name="Total" dataDxfId="196" dataCellStyle="Currency">
      <calculatedColumnFormula>GSOperating[Cost(ExclHST)]+GSOperating[Unrecoverable]+GSOperating[[#This Row],[UnrecoverableNotCalc]]</calculatedColumnFormula>
    </tableColumn>
    <tableColumn id="7" name="Document Reference #(s)/pg #(s)" dataDxfId="195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25" name="Table7626" displayName="Table7626" ref="C6:K8" totalsRowShown="0" headerRowDxfId="192" dataDxfId="190" headerRowBorderDxfId="191" tableBorderDxfId="189" totalsRowBorderDxfId="188">
  <tableColumns count="9">
    <tableColumn id="2" name="Work Start Date YYYY/MM/DD" dataDxfId="187"/>
    <tableColumn id="1" name="Work End Date YYYY/MM/DD" dataDxfId="186"/>
    <tableColumn id="3" name="Goods/Services Supplier" dataDxfId="185"/>
    <tableColumn id="4" name="Description of Work" dataDxfId="184"/>
    <tableColumn id="6" name="Eligible Cost (Excluding HST)" dataDxfId="183" dataCellStyle="Currency"/>
    <tableColumn id="10" name="Unrecoverable HST  calculated at 1.76% " dataDxfId="182" dataCellStyle="Currency"/>
    <tableColumn id="8" name="Unrecoverable HST - NOT calculated at 1.76% (must be manually entered)" dataDxfId="181" dataCellStyle="Currency"/>
    <tableColumn id="5" name="Total: Eligible Cost + Unrecoverable HST" dataDxfId="180" dataCellStyle="Currency"/>
    <tableColumn id="7" name="Document Reference Page Number" dataDxfId="17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6" name="GSCapital" displayName="GSCapital" ref="C9:K20" totalsRowShown="0" headerRowDxfId="178" dataDxfId="176" headerRowBorderDxfId="177" tableBorderDxfId="175" totalsRowBorderDxfId="174">
  <autoFilter ref="C9:K20"/>
  <tableColumns count="9">
    <tableColumn id="2" name="Start" dataDxfId="173"/>
    <tableColumn id="1" name="End" dataDxfId="172"/>
    <tableColumn id="3" name="Goods /Services Supplier" dataDxfId="171"/>
    <tableColumn id="4" name="Description of the work" dataDxfId="170"/>
    <tableColumn id="6" name="Cost(Excl HST)" dataDxfId="169" dataCellStyle="Currency"/>
    <tableColumn id="9" name="Unrecoverable" dataDxfId="168" dataCellStyle="Currency">
      <calculatedColumnFormula>IF(ISBLANK(GSCapital[[#This Row],[UnrecoverableNotCalc]]), GSCapital[[#This Row],[Cost(Excl HST)]]*0.0176, 0)</calculatedColumnFormula>
    </tableColumn>
    <tableColumn id="8" name="UnrecoverableNotCalc" dataDxfId="167" dataCellStyle="Currency"/>
    <tableColumn id="5" name="Total" dataDxfId="166" dataCellStyle="Currency">
      <calculatedColumnFormula>GSCapital[Cost(Excl HST)]+GSCapital[Unrecoverable]+GSCapital[[#This Row],[UnrecoverableNotCalc]]</calculatedColumnFormula>
    </tableColumn>
    <tableColumn id="7" name="Document Reference #(s)/pg #(s)2" dataDxfId="165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18" name="Table1319" displayName="Table1319" ref="C9:N11" totalsRowShown="0" headerRowDxfId="162" dataDxfId="160" headerRowBorderDxfId="161" tableBorderDxfId="159" totalsRowBorderDxfId="158">
  <tableColumns count="12">
    <tableColumn id="1" name="Employee Name (Last, First)" dataDxfId="157"/>
    <tableColumn id="2" name="Employee Type (R, TE, BF)" dataDxfId="156"/>
    <tableColumn id="8" name="Work Start Date YYYY/MM/DD" dataDxfId="155"/>
    <tableColumn id="3" name="Work End Date YYYY/MM/DD" dataDxfId="154"/>
    <tableColumn id="6" name="Function/Work Performed" dataDxfId="153"/>
    <tableColumn id="9" name="OT Hours Worked " dataDxfId="152"/>
    <tableColumn id="11" name="Overtime Hourly Wage" dataDxfId="151" dataCellStyle="Currency"/>
    <tableColumn id="12" name="Total Wage (R) " dataDxfId="150" dataCellStyle="Currency">
      <calculatedColumnFormula>IF(D10="R",Table1319[[#This Row],[OT Hours Worked ]]*Table1319[[#This Row],[Overtime Hourly Wage]],"R Only")</calculatedColumnFormula>
    </tableColumn>
    <tableColumn id="4" name="Total Wage (TE) or BF)" dataDxfId="149" dataCellStyle="Currency"/>
    <tableColumn id="15" name="Benefits" dataDxfId="148" dataCellStyle="Currency"/>
    <tableColumn id="16" name="Document Reference Page Number" dataDxfId="147"/>
    <tableColumn id="5" name="Total Cost" dataDxfId="146">
      <calculatedColumnFormula>IF(Table1319[[#This Row],[Employee Type (R, TE, BF)]]="R",SUM(Table1319[[#This Row],[Total Wage (R) ]],Table1319[[#This Row],[Benefits]],#REF!),SUM(#REF!))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9" name="EmplOperating" displayName="EmplOperating" ref="C12:N41" totalsRowShown="0" headerRowDxfId="145" dataDxfId="143" headerRowBorderDxfId="144" tableBorderDxfId="142" totalsRowBorderDxfId="141">
  <tableColumns count="12">
    <tableColumn id="1" name="Employee Name (last name, first name)" dataDxfId="140"/>
    <tableColumn id="2" name="(R), (TE) or (BF)" dataDxfId="139"/>
    <tableColumn id="8" name="Start" dataDxfId="138"/>
    <tableColumn id="3" name="End" dataDxfId="137"/>
    <tableColumn id="6" name="Function" dataDxfId="136"/>
    <tableColumn id="9" name="OT Hours Worked (Regular Only)" dataDxfId="135"/>
    <tableColumn id="11" name="Overtime Hourly Wage (Regular Only)" dataDxfId="134" dataCellStyle="Currency"/>
    <tableColumn id="12" name="Total Wage (Regular Only)" dataDxfId="133" dataCellStyle="Currency">
      <calculatedColumnFormula>IF(D13="R",EmplOperating[[#This Row],[OT Hours Worked (Regular Only)]]*EmplOperating[[#This Row],[Overtime Hourly Wage (Regular Only)]],"R Only")</calculatedColumnFormula>
    </tableColumn>
    <tableColumn id="4" name="Total Wage (TE or BF)" dataDxfId="132" dataCellStyle="Currency"/>
    <tableColumn id="14" name="Benefits" dataDxfId="131" dataCellStyle="Currency"/>
    <tableColumn id="16" name="Document Reference #(s)/pg #(s)" dataDxfId="130"/>
    <tableColumn id="5" name="Total Cost" dataDxfId="129">
      <calculatedColumnFormula>IF(EmplOperating[[#This Row],[(R), (TE) or (BF)]]="R", SUM(EmplOperating[[#This Row],[Total Wage (Regular Only)]], EmplOperating[[#This Row],[Benefits]]), SUM(EmplOperating[[#This Row],[Total Wage (TE or BF)]],EmplOperating[[#This Row],[Benefits]]))</calculatedColumnFormula>
    </tableColumn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id="2" name="Table13" displayName="Table13" ref="C10:N12" totalsRowShown="0" headerRowDxfId="126" dataDxfId="124" headerRowBorderDxfId="125" tableBorderDxfId="123" totalsRowBorderDxfId="122">
  <tableColumns count="12">
    <tableColumn id="1" name="Employee Name (Last, First)" dataDxfId="121"/>
    <tableColumn id="2" name="Employee Type (R, TE or BF)" dataDxfId="120"/>
    <tableColumn id="8" name="Work Start Date YYYY/MM/DD" dataDxfId="119"/>
    <tableColumn id="3" name="Work End Date YYYY/MM/DD" dataDxfId="118"/>
    <tableColumn id="6" name="Function/Work Performed" dataDxfId="117"/>
    <tableColumn id="9" name="OT Hours Worked" dataDxfId="116"/>
    <tableColumn id="11" name="Overtime Hourly Wage" dataDxfId="115" dataCellStyle="Currency"/>
    <tableColumn id="12" name="Total Wage (R)" dataDxfId="114" dataCellStyle="Currency">
      <calculatedColumnFormula>IF(D11="R",Table13[[#This Row],[OT Hours Worked]]*Table13[[#This Row],[Overtime Hourly Wage]],"R Only")</calculatedColumnFormula>
    </tableColumn>
    <tableColumn id="4" name="Total Wage (TE or BF)" dataDxfId="113" dataCellStyle="Currency"/>
    <tableColumn id="13" name="Benefits" dataDxfId="112" dataCellStyle="Currency"/>
    <tableColumn id="16" name="Document Reference Page Number" dataDxfId="111"/>
    <tableColumn id="5" name="Total Cost" dataDxfId="110">
      <calculatedColumnFormula>IF(Table1319[[#This Row],[Employee Type (R, TE, BF)]]="R",SUM(Table13[[#This Row],[Total Wage (R)]],#REF!),SUM(#REF!))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ECCapital" displayName="ECCapital" ref="C13:N29" headerRowDxfId="109" dataDxfId="107" headerRowBorderDxfId="108" tableBorderDxfId="106" totalsRowBorderDxfId="105">
  <autoFilter ref="C13:N29"/>
  <tableColumns count="12">
    <tableColumn id="1" name="Employee Name (last name, first name)" totalsRowLabel="Total" dataDxfId="104"/>
    <tableColumn id="2" name="(R), (TE) or (BF)" dataDxfId="103"/>
    <tableColumn id="3" name="Date Range" dataDxfId="102"/>
    <tableColumn id="13" name="Column1" dataDxfId="101"/>
    <tableColumn id="6" name="Function" dataDxfId="100"/>
    <tableColumn id="9" name="OT Hours Worked (Full Time Only)" dataDxfId="99"/>
    <tableColumn id="11" name="Overtime Hourly Wage (Full Time Only)" dataDxfId="98" dataCellStyle="Currency"/>
    <tableColumn id="12" name="Total Wage (Full Time Only)" dataDxfId="97" dataCellStyle="Currency">
      <calculatedColumnFormula>IF(ECCapital[[#This Row],[(R), (TE) or (BF)]]="R", ECCapital[[#This Row],[OT Hours Worked (Full Time Only)]]*ECCapital[[#This Row],[Overtime Hourly Wage (Full Time Only)]], "R Only")</calculatedColumnFormula>
    </tableColumn>
    <tableColumn id="4" name="Amount Claimed (Temp or Backfill)" dataDxfId="96" dataCellStyle="Currency"/>
    <tableColumn id="8" name="Benefits" dataDxfId="95" dataCellStyle="Currency"/>
    <tableColumn id="16" name="Document Reference " dataDxfId="94"/>
    <tableColumn id="5" name="Total Cost" totalsRowFunction="sum" dataDxfId="93">
      <calculatedColumnFormula>IF(ECCapital[[#This Row],[(R), (TE) or (BF)]]="R", SUM(ECCapital[[#This Row],[Total Wage (Full Time Only)]],ECCapital[[#This Row],[Benefits]]), SUM(ECCapital[[#This Row],[Amount Claimed (Temp or Backfill)]], ECCapital[[#This Row],[Benefits]]))</calculatedColumnFormula>
    </tableColumn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id="4" name="Table35" displayName="Table35" ref="C9:L11" totalsRowShown="0" headerRowDxfId="90" dataDxfId="88" headerRowBorderDxfId="89" tableBorderDxfId="87" totalsRowBorderDxfId="86">
  <tableColumns count="10">
    <tableColumn id="1" name="Work Start Date YYYY/MM/DD" dataDxfId="85"/>
    <tableColumn id="14" name="Work End Date YYYY/MM/DD" dataDxfId="84"/>
    <tableColumn id="2" name="Equipment and Activity" dataDxfId="83"/>
    <tableColumn id="3" name="Classifier" dataDxfId="82"/>
    <tableColumn id="4" name="Make and Model Number" dataDxfId="81"/>
    <tableColumn id="7" name="Hours Used" dataDxfId="80"/>
    <tableColumn id="8" name="OPSS 127 Rental Rates" dataDxfId="79" dataCellStyle="Percent"/>
    <tableColumn id="10" name="Total (at 40%)" dataDxfId="78" dataCellStyle="Percent"/>
    <tableColumn id="13" name="Document Reference Page Number" dataDxfId="77"/>
    <tableColumn id="15" name="Total Costs" dataDxfId="7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EquipOC" displayName="EquipOC" ref="C12:L31" totalsRowShown="0" headerRowDxfId="75" dataDxfId="73" headerRowBorderDxfId="74" tableBorderDxfId="72" totalsRowBorderDxfId="71">
  <autoFilter ref="C12:L31"/>
  <tableColumns count="10">
    <tableColumn id="1" name="Date or Date Range" dataDxfId="70"/>
    <tableColumn id="2" name="Equipment" dataDxfId="69"/>
    <tableColumn id="9" name="Column1" dataDxfId="68"/>
    <tableColumn id="3" name="HP" dataDxfId="67"/>
    <tableColumn id="4" name="Model Number" dataDxfId="66"/>
    <tableColumn id="7" name="Hours Used" dataDxfId="65"/>
    <tableColumn id="8" name="Claimant's Rate" dataDxfId="64" dataCellStyle="Percent"/>
    <tableColumn id="10" name="Total (Option 1)" dataDxfId="63" dataCellStyle="Currency">
      <calculatedColumnFormula>(EquipOC[[#This Row],[Hours Used]]*EquipOC[[#This Row],[Claimant''s Rate]])*0.4</calculatedColumnFormula>
    </tableColumn>
    <tableColumn id="13" name="Document Reference #(s)/pg #(s)" dataDxfId="62"/>
    <tableColumn id="15" name="Total Costs" dataDxfId="61">
      <calculatedColumnFormula>SUM(EquipOC[[#This Row],[Total (Option 1)]])</calculatedColumnFormula>
    </tableColumn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id="1" name="Table35222" displayName="Table35222" ref="C7:L9" totalsRowShown="0" headerRowDxfId="58" dataDxfId="56" headerRowBorderDxfId="57" tableBorderDxfId="55" totalsRowBorderDxfId="54">
  <tableColumns count="10">
    <tableColumn id="5" name="Work Start Date YYYY/MM/DD" dataDxfId="53"/>
    <tableColumn id="1" name="Work End Date YYYY/MM/DD" dataDxfId="52"/>
    <tableColumn id="2" name="Equipment and Activity" dataDxfId="51"/>
    <tableColumn id="3" name="Classifier" dataDxfId="50"/>
    <tableColumn id="4" name="Make and Model Number" dataDxfId="49"/>
    <tableColumn id="7" name="Hours Used" dataDxfId="48"/>
    <tableColumn id="8" name="OPSS 127 Rental Rate" dataDxfId="47" dataCellStyle="Percent"/>
    <tableColumn id="10" name="Total (at 40%)" dataDxfId="46" dataCellStyle="Percent">
      <calculatedColumnFormula>Table35222[[#This Row],[Hours Used]]*Table35222[[#This Row],[OPSS 127 Rental Rate]]*0.4</calculatedColumnFormula>
    </tableColumn>
    <tableColumn id="13" name="Document Reference Page Number" dataDxfId="45"/>
    <tableColumn id="15" name="Total Costs" dataDxfId="44">
      <calculatedColumnFormula>SUM(Table35222[[#This Row],[Total (at 40%)]],#REF!)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EquipCC" displayName="EquipCC" ref="C10:L24" totalsRowShown="0" headerRowDxfId="43" dataDxfId="41" headerRowBorderDxfId="42" tableBorderDxfId="40" totalsRowBorderDxfId="39">
  <tableColumns count="10">
    <tableColumn id="5" name="Column1" dataDxfId="38"/>
    <tableColumn id="1" name="Date or Date Range" dataDxfId="37"/>
    <tableColumn id="2" name="Equipment" dataDxfId="36"/>
    <tableColumn id="3" name="HP" dataDxfId="35"/>
    <tableColumn id="4" name="Model Number" dataDxfId="34"/>
    <tableColumn id="7" name="Hours Used" dataDxfId="33"/>
    <tableColumn id="8" name="Claimant's Rate" dataDxfId="32" dataCellStyle="Percent"/>
    <tableColumn id="10" name="Column2" dataDxfId="31" dataCellStyle="Currency">
      <calculatedColumnFormula>EquipCC[[#This Row],[Hours Used]]*EquipCC[[#This Row],[Claimant''s Rate]]*0.4</calculatedColumnFormula>
    </tableColumn>
    <tableColumn id="13" name="Document Reference #(s)/pg #(s)" dataDxfId="30"/>
    <tableColumn id="15" name="Total Costs" dataDxfId="29">
      <calculatedColumnFormula>SUM(EquipCC[[#This Row],[Column2]])</calculatedColumnFormula>
    </tableColumn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id="27" name="Revenue" displayName="Revenue" ref="B7:G20" headerRowDxfId="26" dataDxfId="24" totalsRowDxfId="22" headerRowBorderDxfId="25" tableBorderDxfId="23" totalsRowBorderDxfId="21">
  <autoFilter ref="B7:G20"/>
  <tableColumns count="6">
    <tableColumn id="1" name="Start" totalsRowLabel="Total" dataDxfId="20"/>
    <tableColumn id="2" name="End" dataDxfId="19"/>
    <tableColumn id="3" name="Source of Revenue" dataDxfId="18"/>
    <tableColumn id="4" name="Description" dataDxfId="17"/>
    <tableColumn id="5" name="Total" dataDxfId="16" totalsRowDxfId="15" dataCellStyle="Percent"/>
    <tableColumn id="6" name="Document Reference #" totalsRowFunction="count" dataDxfId="14" totalsRowDxfId="13"/>
  </tableColumns>
  <tableStyleInfo name="Table Style 1" showFirstColumn="0" showLastColumn="0" showRowStripes="1" showColumnStripes="1"/>
</table>
</file>

<file path=xl/tables/table14.xml><?xml version="1.0" encoding="utf-8"?>
<table xmlns="http://schemas.openxmlformats.org/spreadsheetml/2006/main" id="5" name="EstCost" displayName="EstCost" ref="B7:G32" headerRowDxfId="10" dataDxfId="8" headerRowBorderDxfId="9" tableBorderDxfId="7" totalsRowBorderDxfId="6">
  <autoFilter ref="B7:G32"/>
  <tableColumns count="6">
    <tableColumn id="1" name="Cap_Op_Flag" dataDxfId="5"/>
    <tableColumn id="2" name="Supplier" dataDxfId="4"/>
    <tableColumn id="3" name="Description" dataDxfId="3"/>
    <tableColumn id="4" name="Documentation" dataDxfId="2"/>
    <tableColumn id="5" name="Reference" totalsRowLabel="Total" dataDxfId="1"/>
    <tableColumn id="6" name="CostEst" totalsRowFunction="sum" dataDxfId="0" dataCellStyle="Currency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  <pageSetUpPr fitToPage="1"/>
  </sheetPr>
  <dimension ref="A2:AO41"/>
  <sheetViews>
    <sheetView showGridLines="0" showRowColHeaders="0" showRuler="0" view="pageLayout" zoomScale="80" zoomScaleNormal="85" zoomScalePageLayoutView="80" workbookViewId="0">
      <selection activeCell="F19" sqref="F19:R19"/>
    </sheetView>
  </sheetViews>
  <sheetFormatPr defaultRowHeight="14.25" x14ac:dyDescent="0.2"/>
  <cols>
    <col min="1" max="1" width="3.625" style="11" customWidth="1"/>
    <col min="2" max="3" width="3.875" style="11" customWidth="1"/>
    <col min="4" max="4" width="7" style="11" customWidth="1"/>
    <col min="5" max="5" width="11.625" style="11" customWidth="1"/>
    <col min="6" max="33" width="3.875" style="11" customWidth="1"/>
    <col min="34" max="34" width="1.5" style="11" customWidth="1"/>
    <col min="35" max="36" width="3.875" style="11" customWidth="1"/>
    <col min="37" max="37" width="5.125" style="11" customWidth="1"/>
    <col min="38" max="38" width="10.625" style="11" customWidth="1"/>
    <col min="39" max="42" width="9" style="11"/>
    <col min="43" max="257" width="8" style="11"/>
    <col min="258" max="293" width="3.625" style="11" customWidth="1"/>
    <col min="294" max="513" width="8" style="11"/>
    <col min="514" max="549" width="3.625" style="11" customWidth="1"/>
    <col min="550" max="769" width="8" style="11"/>
    <col min="770" max="805" width="3.625" style="11" customWidth="1"/>
    <col min="806" max="1025" width="9" style="11"/>
    <col min="1026" max="1061" width="3.625" style="11" customWidth="1"/>
    <col min="1062" max="1281" width="8" style="11"/>
    <col min="1282" max="1317" width="3.625" style="11" customWidth="1"/>
    <col min="1318" max="1537" width="8" style="11"/>
    <col min="1538" max="1573" width="3.625" style="11" customWidth="1"/>
    <col min="1574" max="1793" width="8" style="11"/>
    <col min="1794" max="1829" width="3.625" style="11" customWidth="1"/>
    <col min="1830" max="2049" width="9" style="11"/>
    <col min="2050" max="2085" width="3.625" style="11" customWidth="1"/>
    <col min="2086" max="2305" width="8" style="11"/>
    <col min="2306" max="2341" width="3.625" style="11" customWidth="1"/>
    <col min="2342" max="2561" width="8" style="11"/>
    <col min="2562" max="2597" width="3.625" style="11" customWidth="1"/>
    <col min="2598" max="2817" width="8" style="11"/>
    <col min="2818" max="2853" width="3.625" style="11" customWidth="1"/>
    <col min="2854" max="3073" width="9" style="11"/>
    <col min="3074" max="3109" width="3.625" style="11" customWidth="1"/>
    <col min="3110" max="3329" width="8" style="11"/>
    <col min="3330" max="3365" width="3.625" style="11" customWidth="1"/>
    <col min="3366" max="3585" width="8" style="11"/>
    <col min="3586" max="3621" width="3.625" style="11" customWidth="1"/>
    <col min="3622" max="3841" width="8" style="11"/>
    <col min="3842" max="3877" width="3.625" style="11" customWidth="1"/>
    <col min="3878" max="4097" width="9" style="11"/>
    <col min="4098" max="4133" width="3.625" style="11" customWidth="1"/>
    <col min="4134" max="4353" width="8" style="11"/>
    <col min="4354" max="4389" width="3.625" style="11" customWidth="1"/>
    <col min="4390" max="4609" width="8" style="11"/>
    <col min="4610" max="4645" width="3.625" style="11" customWidth="1"/>
    <col min="4646" max="4865" width="8" style="11"/>
    <col min="4866" max="4901" width="3.625" style="11" customWidth="1"/>
    <col min="4902" max="5121" width="9" style="11"/>
    <col min="5122" max="5157" width="3.625" style="11" customWidth="1"/>
    <col min="5158" max="5377" width="8" style="11"/>
    <col min="5378" max="5413" width="3.625" style="11" customWidth="1"/>
    <col min="5414" max="5633" width="8" style="11"/>
    <col min="5634" max="5669" width="3.625" style="11" customWidth="1"/>
    <col min="5670" max="5889" width="8" style="11"/>
    <col min="5890" max="5925" width="3.625" style="11" customWidth="1"/>
    <col min="5926" max="6145" width="9" style="11"/>
    <col min="6146" max="6181" width="3.625" style="11" customWidth="1"/>
    <col min="6182" max="6401" width="8" style="11"/>
    <col min="6402" max="6437" width="3.625" style="11" customWidth="1"/>
    <col min="6438" max="6657" width="8" style="11"/>
    <col min="6658" max="6693" width="3.625" style="11" customWidth="1"/>
    <col min="6694" max="6913" width="8" style="11"/>
    <col min="6914" max="6949" width="3.625" style="11" customWidth="1"/>
    <col min="6950" max="7169" width="9" style="11"/>
    <col min="7170" max="7205" width="3.625" style="11" customWidth="1"/>
    <col min="7206" max="7425" width="8" style="11"/>
    <col min="7426" max="7461" width="3.625" style="11" customWidth="1"/>
    <col min="7462" max="7681" width="8" style="11"/>
    <col min="7682" max="7717" width="3.625" style="11" customWidth="1"/>
    <col min="7718" max="7937" width="8" style="11"/>
    <col min="7938" max="7973" width="3.625" style="11" customWidth="1"/>
    <col min="7974" max="8193" width="9" style="11"/>
    <col min="8194" max="8229" width="3.625" style="11" customWidth="1"/>
    <col min="8230" max="8449" width="8" style="11"/>
    <col min="8450" max="8485" width="3.625" style="11" customWidth="1"/>
    <col min="8486" max="8705" width="8" style="11"/>
    <col min="8706" max="8741" width="3.625" style="11" customWidth="1"/>
    <col min="8742" max="8961" width="8" style="11"/>
    <col min="8962" max="8997" width="3.625" style="11" customWidth="1"/>
    <col min="8998" max="9217" width="9" style="11"/>
    <col min="9218" max="9253" width="3.625" style="11" customWidth="1"/>
    <col min="9254" max="9473" width="8" style="11"/>
    <col min="9474" max="9509" width="3.625" style="11" customWidth="1"/>
    <col min="9510" max="9729" width="8" style="11"/>
    <col min="9730" max="9765" width="3.625" style="11" customWidth="1"/>
    <col min="9766" max="9985" width="8" style="11"/>
    <col min="9986" max="10021" width="3.625" style="11" customWidth="1"/>
    <col min="10022" max="10241" width="9" style="11"/>
    <col min="10242" max="10277" width="3.625" style="11" customWidth="1"/>
    <col min="10278" max="10497" width="8" style="11"/>
    <col min="10498" max="10533" width="3.625" style="11" customWidth="1"/>
    <col min="10534" max="10753" width="8" style="11"/>
    <col min="10754" max="10789" width="3.625" style="11" customWidth="1"/>
    <col min="10790" max="11009" width="8" style="11"/>
    <col min="11010" max="11045" width="3.625" style="11" customWidth="1"/>
    <col min="11046" max="11265" width="9" style="11"/>
    <col min="11266" max="11301" width="3.625" style="11" customWidth="1"/>
    <col min="11302" max="11521" width="8" style="11"/>
    <col min="11522" max="11557" width="3.625" style="11" customWidth="1"/>
    <col min="11558" max="11777" width="8" style="11"/>
    <col min="11778" max="11813" width="3.625" style="11" customWidth="1"/>
    <col min="11814" max="12033" width="8" style="11"/>
    <col min="12034" max="12069" width="3.625" style="11" customWidth="1"/>
    <col min="12070" max="12289" width="9" style="11"/>
    <col min="12290" max="12325" width="3.625" style="11" customWidth="1"/>
    <col min="12326" max="12545" width="8" style="11"/>
    <col min="12546" max="12581" width="3.625" style="11" customWidth="1"/>
    <col min="12582" max="12801" width="8" style="11"/>
    <col min="12802" max="12837" width="3.625" style="11" customWidth="1"/>
    <col min="12838" max="13057" width="8" style="11"/>
    <col min="13058" max="13093" width="3.625" style="11" customWidth="1"/>
    <col min="13094" max="13313" width="9" style="11"/>
    <col min="13314" max="13349" width="3.625" style="11" customWidth="1"/>
    <col min="13350" max="13569" width="8" style="11"/>
    <col min="13570" max="13605" width="3.625" style="11" customWidth="1"/>
    <col min="13606" max="13825" width="8" style="11"/>
    <col min="13826" max="13861" width="3.625" style="11" customWidth="1"/>
    <col min="13862" max="14081" width="8" style="11"/>
    <col min="14082" max="14117" width="3.625" style="11" customWidth="1"/>
    <col min="14118" max="14337" width="9" style="11"/>
    <col min="14338" max="14373" width="3.625" style="11" customWidth="1"/>
    <col min="14374" max="14593" width="8" style="11"/>
    <col min="14594" max="14629" width="3.625" style="11" customWidth="1"/>
    <col min="14630" max="14849" width="8" style="11"/>
    <col min="14850" max="14885" width="3.625" style="11" customWidth="1"/>
    <col min="14886" max="15105" width="8" style="11"/>
    <col min="15106" max="15141" width="3.625" style="11" customWidth="1"/>
    <col min="15142" max="15361" width="9" style="11"/>
    <col min="15362" max="15397" width="3.625" style="11" customWidth="1"/>
    <col min="15398" max="15617" width="8" style="11"/>
    <col min="15618" max="15653" width="3.625" style="11" customWidth="1"/>
    <col min="15654" max="15873" width="8" style="11"/>
    <col min="15874" max="15909" width="3.625" style="11" customWidth="1"/>
    <col min="15910" max="16129" width="8" style="11"/>
    <col min="16130" max="16165" width="3.625" style="11" customWidth="1"/>
    <col min="16166" max="16384" width="9" style="11"/>
  </cols>
  <sheetData>
    <row r="2" spans="1:41" ht="49.5" customHeight="1" x14ac:dyDescent="0.2">
      <c r="A2" s="382" t="s">
        <v>182</v>
      </c>
      <c r="B2" s="382"/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</row>
    <row r="3" spans="1:41" ht="19.5" customHeight="1" x14ac:dyDescent="0.2"/>
    <row r="4" spans="1:41" ht="15.6" x14ac:dyDescent="0.3">
      <c r="B4" s="381" t="s">
        <v>7</v>
      </c>
      <c r="C4" s="381"/>
      <c r="D4" s="381"/>
      <c r="E4" s="381"/>
      <c r="F4" s="406" t="s">
        <v>80</v>
      </c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407"/>
      <c r="R4" s="407"/>
      <c r="S4" s="126"/>
      <c r="T4" s="126"/>
      <c r="U4" s="126"/>
      <c r="V4" s="14"/>
      <c r="X4" s="127"/>
      <c r="Y4" s="127"/>
      <c r="Z4" s="20"/>
      <c r="AA4" s="385" t="s">
        <v>113</v>
      </c>
      <c r="AB4" s="386"/>
      <c r="AC4" s="386"/>
      <c r="AD4" s="386"/>
      <c r="AE4" s="386"/>
      <c r="AF4" s="386"/>
      <c r="AG4" s="386"/>
      <c r="AH4" s="386"/>
      <c r="AI4" s="386"/>
      <c r="AJ4" s="386"/>
      <c r="AK4" s="386"/>
      <c r="AL4" s="386"/>
      <c r="AM4" s="20"/>
      <c r="AN4" s="20"/>
      <c r="AO4" s="20"/>
    </row>
    <row r="5" spans="1:41" ht="15.6" x14ac:dyDescent="0.3">
      <c r="F5" s="10" t="s">
        <v>85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V5" s="279" t="s">
        <v>103</v>
      </c>
      <c r="W5" s="156"/>
      <c r="AA5" s="387"/>
      <c r="AB5" s="387"/>
      <c r="AC5" s="387"/>
      <c r="AD5" s="387"/>
      <c r="AE5" s="387"/>
      <c r="AF5" s="387"/>
      <c r="AG5" s="387"/>
      <c r="AH5" s="387"/>
      <c r="AI5" s="387"/>
      <c r="AJ5" s="387"/>
      <c r="AK5" s="387"/>
      <c r="AL5" s="387"/>
      <c r="AM5" s="20"/>
      <c r="AN5" s="20"/>
      <c r="AO5" s="20"/>
    </row>
    <row r="6" spans="1:41" ht="15" x14ac:dyDescent="0.25">
      <c r="F6" s="10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AA6" s="307"/>
      <c r="AB6" s="307"/>
      <c r="AC6" s="307"/>
      <c r="AD6" s="307"/>
      <c r="AE6" s="307"/>
      <c r="AF6" s="307"/>
      <c r="AG6" s="307"/>
      <c r="AH6" s="307"/>
      <c r="AI6" s="307"/>
      <c r="AJ6" s="307"/>
      <c r="AK6" s="307"/>
      <c r="AL6" s="307"/>
      <c r="AM6" s="20"/>
      <c r="AN6" s="20"/>
      <c r="AO6" s="20"/>
    </row>
    <row r="7" spans="1:41" ht="15.75" customHeight="1" x14ac:dyDescent="0.3">
      <c r="B7" s="383" t="s">
        <v>79</v>
      </c>
      <c r="C7" s="383"/>
      <c r="D7" s="383"/>
      <c r="F7" s="408" t="s">
        <v>95</v>
      </c>
      <c r="G7" s="384"/>
      <c r="H7" s="384"/>
      <c r="I7" s="384"/>
      <c r="J7" s="384"/>
      <c r="K7" s="384"/>
      <c r="L7" s="384"/>
      <c r="M7" s="384"/>
      <c r="N7" s="384"/>
      <c r="O7" s="384"/>
      <c r="P7" s="384"/>
      <c r="Q7" s="384"/>
      <c r="R7" s="384"/>
      <c r="V7" s="279" t="s">
        <v>102</v>
      </c>
      <c r="AA7" s="387"/>
      <c r="AB7" s="387"/>
      <c r="AC7" s="387"/>
      <c r="AD7" s="387"/>
      <c r="AE7" s="387"/>
      <c r="AF7" s="387"/>
      <c r="AG7" s="387"/>
      <c r="AH7" s="387"/>
      <c r="AI7" s="387"/>
      <c r="AJ7" s="387"/>
      <c r="AK7" s="387"/>
      <c r="AL7" s="387"/>
      <c r="AM7" s="20"/>
      <c r="AN7" s="20"/>
      <c r="AO7" s="20"/>
    </row>
    <row r="8" spans="1:41" ht="15.75" customHeight="1" x14ac:dyDescent="0.3">
      <c r="B8" s="298"/>
      <c r="C8" s="298"/>
      <c r="D8" s="298"/>
      <c r="F8" s="309"/>
      <c r="G8" s="310"/>
      <c r="H8" s="310"/>
      <c r="I8" s="310"/>
      <c r="J8" s="310"/>
      <c r="K8" s="310"/>
      <c r="L8" s="310"/>
      <c r="M8" s="310"/>
      <c r="N8" s="310"/>
      <c r="O8" s="310"/>
      <c r="P8" s="310"/>
      <c r="Q8" s="310"/>
      <c r="R8" s="310"/>
      <c r="AA8" s="308"/>
      <c r="AB8" s="308"/>
      <c r="AC8" s="308"/>
      <c r="AD8" s="308"/>
      <c r="AE8" s="308"/>
      <c r="AF8" s="308"/>
      <c r="AG8" s="308"/>
      <c r="AH8" s="308"/>
      <c r="AI8" s="308"/>
      <c r="AJ8" s="308"/>
      <c r="AK8" s="308"/>
      <c r="AL8" s="308"/>
      <c r="AM8" s="20"/>
      <c r="AN8" s="20"/>
      <c r="AO8" s="20"/>
    </row>
    <row r="9" spans="1:41" ht="15.6" x14ac:dyDescent="0.3">
      <c r="B9" s="383"/>
      <c r="C9" s="383"/>
      <c r="D9" s="383"/>
      <c r="E9" s="383"/>
      <c r="F9" s="311"/>
      <c r="G9" s="311"/>
      <c r="H9" s="311"/>
      <c r="I9" s="311"/>
      <c r="J9" s="311"/>
      <c r="K9" s="311"/>
      <c r="L9" s="311"/>
      <c r="M9" s="311"/>
      <c r="N9" s="311"/>
      <c r="O9" s="311"/>
      <c r="P9" s="311"/>
      <c r="Q9" s="311"/>
      <c r="R9" s="311"/>
      <c r="V9" s="279" t="s">
        <v>96</v>
      </c>
      <c r="AA9" s="387"/>
      <c r="AB9" s="387"/>
      <c r="AC9" s="387"/>
      <c r="AD9" s="387"/>
      <c r="AE9" s="387"/>
      <c r="AF9" s="387"/>
      <c r="AG9" s="387"/>
      <c r="AH9" s="387"/>
      <c r="AI9" s="387"/>
      <c r="AJ9" s="387"/>
      <c r="AK9" s="387"/>
      <c r="AL9" s="387"/>
      <c r="AM9" s="20"/>
      <c r="AN9" s="20"/>
      <c r="AO9" s="20"/>
    </row>
    <row r="10" spans="1:41" ht="15.75" customHeight="1" x14ac:dyDescent="0.25">
      <c r="B10" s="11" t="s">
        <v>137</v>
      </c>
      <c r="F10" s="384"/>
      <c r="G10" s="384"/>
      <c r="H10" s="384"/>
      <c r="I10" s="384"/>
      <c r="J10" s="384"/>
      <c r="K10" s="384"/>
      <c r="L10" s="384"/>
      <c r="M10" s="384"/>
      <c r="N10" s="384"/>
      <c r="O10" s="384"/>
      <c r="P10" s="384"/>
      <c r="Q10" s="384"/>
      <c r="R10" s="384"/>
      <c r="AA10" s="388"/>
      <c r="AB10" s="388"/>
      <c r="AC10" s="388"/>
      <c r="AD10" s="388"/>
      <c r="AE10" s="388"/>
      <c r="AF10" s="388"/>
      <c r="AG10" s="388"/>
      <c r="AH10" s="388"/>
      <c r="AI10" s="388"/>
      <c r="AJ10" s="388"/>
      <c r="AK10" s="388"/>
      <c r="AL10" s="388"/>
      <c r="AM10" s="20"/>
      <c r="AN10" s="20"/>
      <c r="AO10" s="20"/>
    </row>
    <row r="11" spans="1:41" ht="15.6" x14ac:dyDescent="0.25">
      <c r="F11" s="10" t="s">
        <v>45</v>
      </c>
      <c r="S11" s="13"/>
      <c r="T11" s="13"/>
      <c r="U11" s="13"/>
      <c r="V11" s="151" t="s">
        <v>10</v>
      </c>
      <c r="W11" s="151"/>
      <c r="X11" s="150"/>
      <c r="Y11" s="150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20"/>
      <c r="AN11" s="20"/>
      <c r="AO11" s="20"/>
    </row>
    <row r="12" spans="1:41" ht="15" x14ac:dyDescent="0.25">
      <c r="F12" s="295"/>
      <c r="G12" s="295"/>
      <c r="H12" s="295"/>
      <c r="I12" s="295"/>
      <c r="J12" s="295"/>
      <c r="K12" s="295"/>
      <c r="L12" s="295"/>
      <c r="M12" s="295"/>
      <c r="N12" s="295"/>
      <c r="O12" s="295"/>
      <c r="P12" s="295"/>
      <c r="Q12" s="295"/>
      <c r="R12" s="295"/>
      <c r="S12" s="13"/>
      <c r="T12" s="13"/>
      <c r="U12" s="13"/>
      <c r="V12" s="13"/>
      <c r="W12" s="13"/>
      <c r="X12" s="13"/>
      <c r="Y12" s="13"/>
      <c r="AA12" s="11" t="s">
        <v>94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1:41" ht="15.6" x14ac:dyDescent="0.3">
      <c r="F13" s="384"/>
      <c r="G13" s="384"/>
      <c r="H13" s="384"/>
      <c r="I13" s="384"/>
      <c r="J13" s="384"/>
      <c r="K13" s="384"/>
      <c r="L13" s="384"/>
      <c r="M13" s="384"/>
      <c r="N13" s="384"/>
      <c r="O13" s="384"/>
      <c r="P13" s="384"/>
      <c r="Q13" s="384"/>
      <c r="R13" s="384"/>
      <c r="S13" s="13"/>
      <c r="T13" s="13"/>
      <c r="U13" s="13"/>
      <c r="V13" s="14"/>
      <c r="W13" s="13"/>
      <c r="X13" s="150"/>
      <c r="Y13" s="1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  <c r="AL13" s="393"/>
      <c r="AM13" s="21"/>
      <c r="AN13" s="21"/>
      <c r="AO13" s="20"/>
    </row>
    <row r="14" spans="1:41" ht="15" x14ac:dyDescent="0.2">
      <c r="F14" s="10" t="s">
        <v>9</v>
      </c>
      <c r="S14" s="295"/>
      <c r="T14" s="295"/>
      <c r="U14" s="295"/>
      <c r="V14" s="295"/>
      <c r="W14" s="295"/>
      <c r="X14" s="13"/>
      <c r="Y14" s="13"/>
      <c r="AA14" s="12"/>
      <c r="AB14" s="13"/>
      <c r="AC14" s="13"/>
      <c r="AD14" s="13"/>
      <c r="AE14" s="13"/>
      <c r="AF14" s="20"/>
      <c r="AG14" s="20"/>
      <c r="AH14" s="20"/>
      <c r="AI14" s="19"/>
      <c r="AJ14" s="20"/>
      <c r="AK14" s="20"/>
      <c r="AL14" s="20"/>
      <c r="AM14" s="20"/>
      <c r="AN14" s="20"/>
      <c r="AO14" s="20"/>
    </row>
    <row r="15" spans="1:41" ht="15" customHeight="1" x14ac:dyDescent="0.2">
      <c r="U15" s="401"/>
      <c r="V15" s="402"/>
      <c r="W15" s="402"/>
      <c r="X15" s="402"/>
      <c r="Y15" s="402"/>
      <c r="Z15" s="402"/>
      <c r="AA15" s="402"/>
      <c r="AB15" s="402"/>
      <c r="AC15" s="402"/>
      <c r="AD15" s="402"/>
      <c r="AE15" s="402"/>
      <c r="AF15" s="402"/>
      <c r="AG15" s="402"/>
      <c r="AH15" s="402"/>
      <c r="AI15" s="402"/>
      <c r="AJ15" s="402"/>
      <c r="AK15" s="402"/>
      <c r="AL15" s="403"/>
      <c r="AM15" s="20"/>
      <c r="AN15" s="20"/>
      <c r="AO15" s="20"/>
    </row>
    <row r="16" spans="1:41" ht="18" x14ac:dyDescent="0.2">
      <c r="F16" s="384"/>
      <c r="G16" s="384"/>
      <c r="H16" s="384"/>
      <c r="I16" s="384"/>
      <c r="J16" s="384"/>
      <c r="K16" s="384"/>
      <c r="L16" s="384"/>
      <c r="M16" s="384"/>
      <c r="N16" s="384"/>
      <c r="O16" s="384"/>
      <c r="P16" s="384"/>
      <c r="Q16" s="384"/>
      <c r="R16" s="384"/>
      <c r="U16" s="390" t="s">
        <v>131</v>
      </c>
      <c r="V16" s="391"/>
      <c r="W16" s="391"/>
      <c r="X16" s="391"/>
      <c r="Y16" s="391"/>
      <c r="Z16" s="391"/>
      <c r="AA16" s="391"/>
      <c r="AB16" s="391"/>
      <c r="AC16" s="391"/>
      <c r="AD16" s="391"/>
      <c r="AE16" s="391"/>
      <c r="AF16" s="391"/>
      <c r="AG16" s="391"/>
      <c r="AH16" s="391"/>
      <c r="AI16" s="391"/>
      <c r="AJ16" s="391"/>
      <c r="AK16" s="391"/>
      <c r="AL16" s="392"/>
    </row>
    <row r="17" spans="2:41" ht="15" x14ac:dyDescent="0.25">
      <c r="F17" s="10" t="s">
        <v>8</v>
      </c>
      <c r="U17" s="394"/>
      <c r="V17" s="395"/>
      <c r="W17" s="395"/>
      <c r="X17" s="395"/>
      <c r="Y17" s="395"/>
      <c r="Z17" s="395"/>
      <c r="AA17" s="395"/>
      <c r="AB17" s="395"/>
      <c r="AC17" s="395"/>
      <c r="AD17" s="395"/>
      <c r="AE17" s="395"/>
      <c r="AF17" s="395"/>
      <c r="AG17" s="395"/>
      <c r="AH17" s="395"/>
      <c r="AI17" s="395"/>
      <c r="AJ17" s="395"/>
      <c r="AK17" s="395"/>
      <c r="AL17" s="396"/>
    </row>
    <row r="18" spans="2:41" ht="15.6" x14ac:dyDescent="0.25">
      <c r="U18" s="397"/>
      <c r="V18" s="398"/>
      <c r="W18" s="398"/>
      <c r="X18" s="398"/>
      <c r="Y18" s="398"/>
      <c r="Z18" s="398"/>
      <c r="AA18" s="398"/>
      <c r="AB18" s="398"/>
      <c r="AC18" s="398"/>
      <c r="AD18" s="398"/>
      <c r="AE18" s="398"/>
      <c r="AF18" s="398"/>
      <c r="AG18" s="398"/>
      <c r="AH18" s="398"/>
      <c r="AI18" s="398"/>
      <c r="AJ18" s="398"/>
      <c r="AK18" s="398"/>
      <c r="AL18" s="399"/>
      <c r="AM18" s="1"/>
      <c r="AN18" s="1"/>
      <c r="AO18" s="1"/>
    </row>
    <row r="19" spans="2:41" ht="15" x14ac:dyDescent="0.25">
      <c r="F19" s="384"/>
      <c r="G19" s="384"/>
      <c r="H19" s="384"/>
      <c r="I19" s="384"/>
      <c r="J19" s="384"/>
      <c r="K19" s="384"/>
      <c r="L19" s="384"/>
      <c r="M19" s="384"/>
      <c r="N19" s="384"/>
      <c r="O19" s="384"/>
      <c r="P19" s="384"/>
      <c r="Q19" s="384"/>
      <c r="R19" s="384"/>
      <c r="U19" s="400"/>
      <c r="V19" s="398"/>
      <c r="W19" s="398"/>
      <c r="X19" s="398"/>
      <c r="Y19" s="398"/>
      <c r="Z19" s="398"/>
      <c r="AA19" s="398"/>
      <c r="AB19" s="398"/>
      <c r="AC19" s="398"/>
      <c r="AD19" s="398"/>
      <c r="AE19" s="398"/>
      <c r="AF19" s="398"/>
      <c r="AG19" s="398"/>
      <c r="AH19" s="398"/>
      <c r="AI19" s="398"/>
      <c r="AJ19" s="398"/>
      <c r="AK19" s="398"/>
      <c r="AL19" s="399"/>
    </row>
    <row r="20" spans="2:41" ht="15" customHeight="1" x14ac:dyDescent="0.25">
      <c r="F20" s="10" t="s">
        <v>45</v>
      </c>
      <c r="U20" s="313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  <c r="AL20" s="315"/>
    </row>
    <row r="21" spans="2:41" ht="18" customHeight="1" x14ac:dyDescent="0.3">
      <c r="B21" s="381" t="s">
        <v>16</v>
      </c>
      <c r="C21" s="381"/>
      <c r="D21" s="381"/>
      <c r="E21" s="381"/>
      <c r="U21" s="313"/>
      <c r="V21" s="314"/>
      <c r="W21" s="314"/>
      <c r="X21" s="314"/>
      <c r="Y21" s="314"/>
      <c r="Z21" s="314"/>
      <c r="AA21" s="314"/>
      <c r="AB21" s="314"/>
      <c r="AC21" s="314"/>
      <c r="AD21" s="314"/>
      <c r="AE21" s="314"/>
      <c r="AF21" s="314"/>
      <c r="AG21" s="314"/>
      <c r="AH21" s="314"/>
      <c r="AI21" s="314"/>
      <c r="AJ21" s="314"/>
      <c r="AK21" s="314"/>
      <c r="AL21" s="315"/>
    </row>
    <row r="22" spans="2:41" ht="18" customHeight="1" x14ac:dyDescent="0.2">
      <c r="F22" s="384"/>
      <c r="G22" s="384"/>
      <c r="H22" s="384"/>
      <c r="I22" s="384"/>
      <c r="J22" s="384"/>
      <c r="K22" s="384"/>
      <c r="L22" s="384"/>
      <c r="M22" s="384"/>
      <c r="N22" s="384"/>
      <c r="O22" s="384"/>
      <c r="P22" s="384"/>
      <c r="Q22" s="384"/>
      <c r="R22" s="384"/>
      <c r="U22" s="316"/>
      <c r="V22" s="317"/>
      <c r="W22" s="317"/>
      <c r="X22" s="317"/>
      <c r="Y22" s="317"/>
      <c r="Z22" s="317"/>
      <c r="AA22" s="317"/>
      <c r="AB22" s="317"/>
      <c r="AC22" s="317"/>
      <c r="AD22" s="317"/>
      <c r="AE22" s="317"/>
      <c r="AF22" s="317"/>
      <c r="AG22" s="317"/>
      <c r="AH22" s="317"/>
      <c r="AI22" s="317"/>
      <c r="AJ22" s="317"/>
      <c r="AK22" s="317"/>
      <c r="AL22" s="318"/>
    </row>
    <row r="23" spans="2:41" ht="18" x14ac:dyDescent="0.2">
      <c r="F23" s="18" t="s">
        <v>46</v>
      </c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U23" s="316"/>
      <c r="V23" s="317"/>
      <c r="W23" s="317"/>
      <c r="X23" s="317"/>
      <c r="Y23" s="317"/>
      <c r="Z23" s="317"/>
      <c r="AA23" s="317"/>
      <c r="AB23" s="317"/>
      <c r="AC23" s="317"/>
      <c r="AD23" s="317"/>
      <c r="AE23" s="317"/>
      <c r="AF23" s="317"/>
      <c r="AG23" s="317"/>
      <c r="AH23" s="317"/>
      <c r="AI23" s="317"/>
      <c r="AJ23" s="317"/>
      <c r="AK23" s="317"/>
      <c r="AL23" s="318"/>
    </row>
    <row r="24" spans="2:41" ht="18" x14ac:dyDescent="0.2"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8"/>
      <c r="S24" s="13"/>
      <c r="T24" s="13"/>
      <c r="U24" s="319"/>
      <c r="V24" s="320"/>
      <c r="W24" s="320"/>
      <c r="X24" s="320"/>
      <c r="Y24" s="320"/>
      <c r="Z24" s="320"/>
      <c r="AA24" s="320"/>
      <c r="AB24" s="320"/>
      <c r="AC24" s="320"/>
      <c r="AD24" s="320"/>
      <c r="AE24" s="320"/>
      <c r="AF24" s="320"/>
      <c r="AG24" s="320"/>
      <c r="AH24" s="320"/>
      <c r="AI24" s="320"/>
      <c r="AJ24" s="320"/>
      <c r="AK24" s="320"/>
      <c r="AL24" s="321"/>
    </row>
    <row r="25" spans="2:41" ht="18" x14ac:dyDescent="0.2">
      <c r="F25" s="384"/>
      <c r="G25" s="384"/>
      <c r="H25" s="384"/>
      <c r="I25" s="384"/>
      <c r="J25" s="384"/>
      <c r="K25" s="384"/>
      <c r="L25" s="384"/>
      <c r="M25" s="384"/>
      <c r="N25" s="384"/>
      <c r="O25" s="384"/>
      <c r="P25" s="384"/>
      <c r="Q25" s="384"/>
      <c r="R25" s="384"/>
      <c r="S25" s="13"/>
      <c r="T25" s="13"/>
      <c r="U25" s="319"/>
      <c r="V25" s="320"/>
      <c r="W25" s="320"/>
      <c r="X25" s="320"/>
      <c r="Y25" s="320"/>
      <c r="Z25" s="320"/>
      <c r="AA25" s="320"/>
      <c r="AB25" s="320"/>
      <c r="AC25" s="320"/>
      <c r="AD25" s="320"/>
      <c r="AE25" s="320"/>
      <c r="AF25" s="320"/>
      <c r="AG25" s="320"/>
      <c r="AH25" s="320"/>
      <c r="AI25" s="320"/>
      <c r="AJ25" s="320"/>
      <c r="AK25" s="320"/>
      <c r="AL25" s="321"/>
    </row>
    <row r="26" spans="2:41" ht="15" x14ac:dyDescent="0.2">
      <c r="F26" s="10" t="s">
        <v>9</v>
      </c>
      <c r="S26" s="128"/>
      <c r="T26" s="128"/>
      <c r="U26" s="322"/>
      <c r="V26" s="323"/>
      <c r="W26" s="323"/>
      <c r="X26" s="323"/>
      <c r="Y26" s="323"/>
      <c r="Z26" s="323"/>
      <c r="AA26" s="323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  <c r="AL26" s="324"/>
      <c r="AM26" s="404"/>
      <c r="AN26" s="405"/>
    </row>
    <row r="27" spans="2:41" ht="15" x14ac:dyDescent="0.2">
      <c r="U27" s="322"/>
      <c r="V27" s="323"/>
      <c r="W27" s="323"/>
      <c r="X27" s="323"/>
      <c r="Y27" s="323"/>
      <c r="Z27" s="323"/>
      <c r="AA27" s="323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  <c r="AL27" s="324"/>
      <c r="AM27" s="404"/>
      <c r="AN27" s="405"/>
    </row>
    <row r="28" spans="2:41" ht="15" x14ac:dyDescent="0.2">
      <c r="F28" s="384"/>
      <c r="G28" s="384"/>
      <c r="H28" s="384"/>
      <c r="I28" s="384"/>
      <c r="J28" s="384"/>
      <c r="K28" s="384"/>
      <c r="L28" s="384"/>
      <c r="M28" s="384"/>
      <c r="N28" s="384"/>
      <c r="O28" s="384"/>
      <c r="P28" s="384"/>
      <c r="Q28" s="384"/>
      <c r="R28" s="384"/>
      <c r="U28" s="322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4"/>
      <c r="AM28" s="404"/>
      <c r="AN28" s="405"/>
    </row>
    <row r="29" spans="2:41" ht="15" x14ac:dyDescent="0.2">
      <c r="F29" s="10" t="s">
        <v>8</v>
      </c>
      <c r="U29" s="322"/>
      <c r="V29" s="323"/>
      <c r="W29" s="323"/>
      <c r="X29" s="323"/>
      <c r="Y29" s="323"/>
      <c r="Z29" s="323"/>
      <c r="AA29" s="323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  <c r="AL29" s="324"/>
      <c r="AM29" s="404"/>
      <c r="AN29" s="405"/>
    </row>
    <row r="30" spans="2:41" ht="18" x14ac:dyDescent="0.2">
      <c r="U30" s="322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4"/>
      <c r="AM30" s="409"/>
      <c r="AN30" s="410"/>
    </row>
    <row r="31" spans="2:41" x14ac:dyDescent="0.2">
      <c r="U31" s="322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  <c r="AL31" s="324"/>
    </row>
    <row r="32" spans="2:41" ht="18" x14ac:dyDescent="0.2">
      <c r="U32" s="319"/>
      <c r="V32" s="320"/>
      <c r="W32" s="320"/>
      <c r="X32" s="320"/>
      <c r="Y32" s="320"/>
      <c r="Z32" s="320"/>
      <c r="AA32" s="320"/>
      <c r="AB32" s="320"/>
      <c r="AC32" s="320"/>
      <c r="AD32" s="320"/>
      <c r="AE32" s="320"/>
      <c r="AF32" s="320"/>
      <c r="AG32" s="320"/>
      <c r="AH32" s="320"/>
      <c r="AI32" s="320"/>
      <c r="AJ32" s="320"/>
      <c r="AK32" s="320"/>
      <c r="AL32" s="321"/>
    </row>
    <row r="33" spans="21:38" ht="18" x14ac:dyDescent="0.2">
      <c r="U33" s="319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0"/>
      <c r="AJ33" s="320"/>
      <c r="AK33" s="320"/>
      <c r="AL33" s="321"/>
    </row>
    <row r="34" spans="21:38" ht="18" x14ac:dyDescent="0.2">
      <c r="U34" s="319"/>
      <c r="V34" s="320"/>
      <c r="W34" s="320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  <c r="AI34" s="320"/>
      <c r="AJ34" s="320"/>
      <c r="AK34" s="320"/>
      <c r="AL34" s="321"/>
    </row>
    <row r="35" spans="21:38" ht="18" x14ac:dyDescent="0.2">
      <c r="U35" s="319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0"/>
      <c r="AJ35" s="320"/>
      <c r="AK35" s="320"/>
      <c r="AL35" s="321"/>
    </row>
    <row r="36" spans="21:38" ht="18" x14ac:dyDescent="0.2">
      <c r="U36" s="319"/>
      <c r="V36" s="320"/>
      <c r="W36" s="320"/>
      <c r="X36" s="320"/>
      <c r="Y36" s="320"/>
      <c r="Z36" s="320"/>
      <c r="AA36" s="320"/>
      <c r="AB36" s="320"/>
      <c r="AC36" s="320"/>
      <c r="AD36" s="320"/>
      <c r="AE36" s="320"/>
      <c r="AF36" s="320"/>
      <c r="AG36" s="320"/>
      <c r="AH36" s="320"/>
      <c r="AI36" s="320"/>
      <c r="AJ36" s="320"/>
      <c r="AK36" s="320"/>
      <c r="AL36" s="321"/>
    </row>
    <row r="37" spans="21:38" ht="18" x14ac:dyDescent="0.2">
      <c r="U37" s="319"/>
      <c r="V37" s="320"/>
      <c r="W37" s="320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  <c r="AI37" s="320"/>
      <c r="AJ37" s="320"/>
      <c r="AK37" s="320"/>
      <c r="AL37" s="321"/>
    </row>
    <row r="38" spans="21:38" ht="18" x14ac:dyDescent="0.2">
      <c r="U38" s="319"/>
      <c r="V38" s="320"/>
      <c r="W38" s="320"/>
      <c r="X38" s="320"/>
      <c r="Y38" s="320"/>
      <c r="Z38" s="320"/>
      <c r="AA38" s="320"/>
      <c r="AB38" s="320"/>
      <c r="AC38" s="320"/>
      <c r="AD38" s="320"/>
      <c r="AE38" s="320"/>
      <c r="AF38" s="320"/>
      <c r="AG38" s="320"/>
      <c r="AH38" s="320"/>
      <c r="AI38" s="320"/>
      <c r="AJ38" s="320"/>
      <c r="AK38" s="320"/>
      <c r="AL38" s="321"/>
    </row>
    <row r="39" spans="21:38" ht="18" x14ac:dyDescent="0.2">
      <c r="U39" s="319"/>
      <c r="V39" s="320"/>
      <c r="W39" s="320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  <c r="AI39" s="320"/>
      <c r="AJ39" s="320"/>
      <c r="AK39" s="320"/>
      <c r="AL39" s="321"/>
    </row>
    <row r="40" spans="21:38" x14ac:dyDescent="0.2">
      <c r="U40" s="325"/>
      <c r="V40" s="326"/>
      <c r="W40" s="326"/>
      <c r="X40" s="326"/>
      <c r="Y40" s="326"/>
      <c r="Z40" s="326"/>
      <c r="AA40" s="326"/>
      <c r="AB40" s="326"/>
      <c r="AC40" s="326"/>
      <c r="AD40" s="326"/>
      <c r="AE40" s="326"/>
      <c r="AF40" s="326"/>
      <c r="AG40" s="326"/>
      <c r="AH40" s="326"/>
      <c r="AI40" s="326"/>
      <c r="AJ40" s="326"/>
      <c r="AK40" s="326"/>
      <c r="AL40" s="327"/>
    </row>
    <row r="41" spans="21:38" x14ac:dyDescent="0.2">
      <c r="U41" s="378"/>
      <c r="V41" s="379"/>
      <c r="W41" s="379"/>
      <c r="X41" s="379"/>
      <c r="Y41" s="379"/>
      <c r="Z41" s="379"/>
      <c r="AA41" s="379"/>
      <c r="AB41" s="379"/>
      <c r="AC41" s="379"/>
      <c r="AD41" s="379"/>
      <c r="AE41" s="379"/>
      <c r="AF41" s="379"/>
      <c r="AG41" s="379"/>
      <c r="AH41" s="379"/>
      <c r="AI41" s="379"/>
      <c r="AJ41" s="379"/>
      <c r="AK41" s="379"/>
      <c r="AL41" s="380"/>
    </row>
  </sheetData>
  <sheetProtection selectLockedCells="1"/>
  <mergeCells count="31">
    <mergeCell ref="AM29:AN29"/>
    <mergeCell ref="AM30:AN30"/>
    <mergeCell ref="F22:R22"/>
    <mergeCell ref="F25:R25"/>
    <mergeCell ref="F28:R28"/>
    <mergeCell ref="AM27:AN27"/>
    <mergeCell ref="AM28:AN28"/>
    <mergeCell ref="U19:AL19"/>
    <mergeCell ref="U15:AL15"/>
    <mergeCell ref="AM26:AN26"/>
    <mergeCell ref="F4:R4"/>
    <mergeCell ref="F19:R19"/>
    <mergeCell ref="F13:R13"/>
    <mergeCell ref="F16:R16"/>
    <mergeCell ref="F7:R7"/>
    <mergeCell ref="B21:E21"/>
    <mergeCell ref="A2:AM2"/>
    <mergeCell ref="B4:E4"/>
    <mergeCell ref="B9:E9"/>
    <mergeCell ref="F10:R10"/>
    <mergeCell ref="AA4:AL4"/>
    <mergeCell ref="AA5:AL5"/>
    <mergeCell ref="AA9:AL9"/>
    <mergeCell ref="AA10:AL10"/>
    <mergeCell ref="B7:D7"/>
    <mergeCell ref="AA11:AL11"/>
    <mergeCell ref="U16:AL16"/>
    <mergeCell ref="AA7:AL7"/>
    <mergeCell ref="AA13:AL13"/>
    <mergeCell ref="U17:AL17"/>
    <mergeCell ref="U18:AL18"/>
  </mergeCells>
  <pageMargins left="0.70866141732283505" right="0.70866141732283505" top="0.74803149606299202" bottom="0" header="0.31496062992126" footer="0"/>
  <pageSetup paperSize="5" scale="80" orientation="landscape" r:id="rId1"/>
  <headerFooter>
    <oddHeader>&amp;L
&amp;C&amp;"-,Bold"&amp;20Municipal Disaster Recovery Assistance Program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557630"/>
    <pageSetUpPr fitToPage="1"/>
  </sheetPr>
  <dimension ref="B1:K24"/>
  <sheetViews>
    <sheetView showGridLines="0" zoomScale="80" zoomScaleNormal="80" zoomScalePageLayoutView="80" workbookViewId="0">
      <pane ySplit="6" topLeftCell="A7" activePane="bottomLeft" state="frozen"/>
      <selection pane="bottomLeft" activeCell="C12" sqref="C12:E12"/>
    </sheetView>
  </sheetViews>
  <sheetFormatPr defaultRowHeight="12.75" x14ac:dyDescent="0.2"/>
  <cols>
    <col min="1" max="1" width="1" style="38" customWidth="1"/>
    <col min="2" max="2" width="2.625" style="38" customWidth="1"/>
    <col min="3" max="3" width="15" style="38" customWidth="1"/>
    <col min="4" max="4" width="14.25" style="38" customWidth="1"/>
    <col min="5" max="5" width="48.375" style="38" customWidth="1"/>
    <col min="6" max="6" width="41.5" style="38" customWidth="1"/>
    <col min="7" max="7" width="14.375" style="58" customWidth="1"/>
    <col min="8" max="8" width="18.125" style="38" customWidth="1"/>
    <col min="9" max="9" width="21.5" style="38" customWidth="1"/>
    <col min="10" max="10" width="14" style="38" customWidth="1"/>
    <col min="11" max="11" width="12.5" style="38" customWidth="1"/>
    <col min="12" max="246" width="9" style="38"/>
    <col min="247" max="247" width="1" style="38" customWidth="1"/>
    <col min="248" max="248" width="16.25" style="38" customWidth="1"/>
    <col min="249" max="249" width="18.625" style="38" customWidth="1"/>
    <col min="250" max="250" width="6" style="38" customWidth="1"/>
    <col min="251" max="251" width="15.875" style="38" customWidth="1"/>
    <col min="252" max="252" width="10.375" style="38" customWidth="1"/>
    <col min="253" max="253" width="32.125" style="38" customWidth="1"/>
    <col min="254" max="254" width="13.625" style="38" customWidth="1"/>
    <col min="255" max="255" width="7.125" style="38" customWidth="1"/>
    <col min="256" max="256" width="4.375" style="38" customWidth="1"/>
    <col min="257" max="259" width="9.375" style="38" customWidth="1"/>
    <col min="260" max="502" width="9" style="38"/>
    <col min="503" max="503" width="1" style="38" customWidth="1"/>
    <col min="504" max="504" width="16.25" style="38" customWidth="1"/>
    <col min="505" max="505" width="18.625" style="38" customWidth="1"/>
    <col min="506" max="506" width="6" style="38" customWidth="1"/>
    <col min="507" max="507" width="15.875" style="38" customWidth="1"/>
    <col min="508" max="508" width="10.375" style="38" customWidth="1"/>
    <col min="509" max="509" width="32.125" style="38" customWidth="1"/>
    <col min="510" max="510" width="13.625" style="38" customWidth="1"/>
    <col min="511" max="511" width="7.125" style="38" customWidth="1"/>
    <col min="512" max="512" width="4.375" style="38" customWidth="1"/>
    <col min="513" max="515" width="9.375" style="38" customWidth="1"/>
    <col min="516" max="758" width="9" style="38"/>
    <col min="759" max="759" width="1" style="38" customWidth="1"/>
    <col min="760" max="760" width="16.25" style="38" customWidth="1"/>
    <col min="761" max="761" width="18.625" style="38" customWidth="1"/>
    <col min="762" max="762" width="6" style="38" customWidth="1"/>
    <col min="763" max="763" width="15.875" style="38" customWidth="1"/>
    <col min="764" max="764" width="10.375" style="38" customWidth="1"/>
    <col min="765" max="765" width="32.125" style="38" customWidth="1"/>
    <col min="766" max="766" width="13.625" style="38" customWidth="1"/>
    <col min="767" max="767" width="7.125" style="38" customWidth="1"/>
    <col min="768" max="768" width="4.375" style="38" customWidth="1"/>
    <col min="769" max="771" width="9.375" style="38" customWidth="1"/>
    <col min="772" max="1014" width="9" style="38"/>
    <col min="1015" max="1015" width="1" style="38" customWidth="1"/>
    <col min="1016" max="1016" width="16.25" style="38" customWidth="1"/>
    <col min="1017" max="1017" width="18.625" style="38" customWidth="1"/>
    <col min="1018" max="1018" width="6" style="38" customWidth="1"/>
    <col min="1019" max="1019" width="15.875" style="38" customWidth="1"/>
    <col min="1020" max="1020" width="10.375" style="38" customWidth="1"/>
    <col min="1021" max="1021" width="32.125" style="38" customWidth="1"/>
    <col min="1022" max="1022" width="13.625" style="38" customWidth="1"/>
    <col min="1023" max="1023" width="7.125" style="38" customWidth="1"/>
    <col min="1024" max="1024" width="4.375" style="38" customWidth="1"/>
    <col min="1025" max="1027" width="9.375" style="38" customWidth="1"/>
    <col min="1028" max="1270" width="9" style="38"/>
    <col min="1271" max="1271" width="1" style="38" customWidth="1"/>
    <col min="1272" max="1272" width="16.25" style="38" customWidth="1"/>
    <col min="1273" max="1273" width="18.625" style="38" customWidth="1"/>
    <col min="1274" max="1274" width="6" style="38" customWidth="1"/>
    <col min="1275" max="1275" width="15.875" style="38" customWidth="1"/>
    <col min="1276" max="1276" width="10.375" style="38" customWidth="1"/>
    <col min="1277" max="1277" width="32.125" style="38" customWidth="1"/>
    <col min="1278" max="1278" width="13.625" style="38" customWidth="1"/>
    <col min="1279" max="1279" width="7.125" style="38" customWidth="1"/>
    <col min="1280" max="1280" width="4.375" style="38" customWidth="1"/>
    <col min="1281" max="1283" width="9.375" style="38" customWidth="1"/>
    <col min="1284" max="1526" width="9" style="38"/>
    <col min="1527" max="1527" width="1" style="38" customWidth="1"/>
    <col min="1528" max="1528" width="16.25" style="38" customWidth="1"/>
    <col min="1529" max="1529" width="18.625" style="38" customWidth="1"/>
    <col min="1530" max="1530" width="6" style="38" customWidth="1"/>
    <col min="1531" max="1531" width="15.875" style="38" customWidth="1"/>
    <col min="1532" max="1532" width="10.375" style="38" customWidth="1"/>
    <col min="1533" max="1533" width="32.125" style="38" customWidth="1"/>
    <col min="1534" max="1534" width="13.625" style="38" customWidth="1"/>
    <col min="1535" max="1535" width="7.125" style="38" customWidth="1"/>
    <col min="1536" max="1536" width="4.375" style="38" customWidth="1"/>
    <col min="1537" max="1539" width="9.375" style="38" customWidth="1"/>
    <col min="1540" max="1782" width="9" style="38"/>
    <col min="1783" max="1783" width="1" style="38" customWidth="1"/>
    <col min="1784" max="1784" width="16.25" style="38" customWidth="1"/>
    <col min="1785" max="1785" width="18.625" style="38" customWidth="1"/>
    <col min="1786" max="1786" width="6" style="38" customWidth="1"/>
    <col min="1787" max="1787" width="15.875" style="38" customWidth="1"/>
    <col min="1788" max="1788" width="10.375" style="38" customWidth="1"/>
    <col min="1789" max="1789" width="32.125" style="38" customWidth="1"/>
    <col min="1790" max="1790" width="13.625" style="38" customWidth="1"/>
    <col min="1791" max="1791" width="7.125" style="38" customWidth="1"/>
    <col min="1792" max="1792" width="4.375" style="38" customWidth="1"/>
    <col min="1793" max="1795" width="9.375" style="38" customWidth="1"/>
    <col min="1796" max="2038" width="9" style="38"/>
    <col min="2039" max="2039" width="1" style="38" customWidth="1"/>
    <col min="2040" max="2040" width="16.25" style="38" customWidth="1"/>
    <col min="2041" max="2041" width="18.625" style="38" customWidth="1"/>
    <col min="2042" max="2042" width="6" style="38" customWidth="1"/>
    <col min="2043" max="2043" width="15.875" style="38" customWidth="1"/>
    <col min="2044" max="2044" width="10.375" style="38" customWidth="1"/>
    <col min="2045" max="2045" width="32.125" style="38" customWidth="1"/>
    <col min="2046" max="2046" width="13.625" style="38" customWidth="1"/>
    <col min="2047" max="2047" width="7.125" style="38" customWidth="1"/>
    <col min="2048" max="2048" width="4.375" style="38" customWidth="1"/>
    <col min="2049" max="2051" width="9.375" style="38" customWidth="1"/>
    <col min="2052" max="2294" width="9" style="38"/>
    <col min="2295" max="2295" width="1" style="38" customWidth="1"/>
    <col min="2296" max="2296" width="16.25" style="38" customWidth="1"/>
    <col min="2297" max="2297" width="18.625" style="38" customWidth="1"/>
    <col min="2298" max="2298" width="6" style="38" customWidth="1"/>
    <col min="2299" max="2299" width="15.875" style="38" customWidth="1"/>
    <col min="2300" max="2300" width="10.375" style="38" customWidth="1"/>
    <col min="2301" max="2301" width="32.125" style="38" customWidth="1"/>
    <col min="2302" max="2302" width="13.625" style="38" customWidth="1"/>
    <col min="2303" max="2303" width="7.125" style="38" customWidth="1"/>
    <col min="2304" max="2304" width="4.375" style="38" customWidth="1"/>
    <col min="2305" max="2307" width="9.375" style="38" customWidth="1"/>
    <col min="2308" max="2550" width="9" style="38"/>
    <col min="2551" max="2551" width="1" style="38" customWidth="1"/>
    <col min="2552" max="2552" width="16.25" style="38" customWidth="1"/>
    <col min="2553" max="2553" width="18.625" style="38" customWidth="1"/>
    <col min="2554" max="2554" width="6" style="38" customWidth="1"/>
    <col min="2555" max="2555" width="15.875" style="38" customWidth="1"/>
    <col min="2556" max="2556" width="10.375" style="38" customWidth="1"/>
    <col min="2557" max="2557" width="32.125" style="38" customWidth="1"/>
    <col min="2558" max="2558" width="13.625" style="38" customWidth="1"/>
    <col min="2559" max="2559" width="7.125" style="38" customWidth="1"/>
    <col min="2560" max="2560" width="4.375" style="38" customWidth="1"/>
    <col min="2561" max="2563" width="9.375" style="38" customWidth="1"/>
    <col min="2564" max="2806" width="9" style="38"/>
    <col min="2807" max="2807" width="1" style="38" customWidth="1"/>
    <col min="2808" max="2808" width="16.25" style="38" customWidth="1"/>
    <col min="2809" max="2809" width="18.625" style="38" customWidth="1"/>
    <col min="2810" max="2810" width="6" style="38" customWidth="1"/>
    <col min="2811" max="2811" width="15.875" style="38" customWidth="1"/>
    <col min="2812" max="2812" width="10.375" style="38" customWidth="1"/>
    <col min="2813" max="2813" width="32.125" style="38" customWidth="1"/>
    <col min="2814" max="2814" width="13.625" style="38" customWidth="1"/>
    <col min="2815" max="2815" width="7.125" style="38" customWidth="1"/>
    <col min="2816" max="2816" width="4.375" style="38" customWidth="1"/>
    <col min="2817" max="2819" width="9.375" style="38" customWidth="1"/>
    <col min="2820" max="3062" width="9" style="38"/>
    <col min="3063" max="3063" width="1" style="38" customWidth="1"/>
    <col min="3064" max="3064" width="16.25" style="38" customWidth="1"/>
    <col min="3065" max="3065" width="18.625" style="38" customWidth="1"/>
    <col min="3066" max="3066" width="6" style="38" customWidth="1"/>
    <col min="3067" max="3067" width="15.875" style="38" customWidth="1"/>
    <col min="3068" max="3068" width="10.375" style="38" customWidth="1"/>
    <col min="3069" max="3069" width="32.125" style="38" customWidth="1"/>
    <col min="3070" max="3070" width="13.625" style="38" customWidth="1"/>
    <col min="3071" max="3071" width="7.125" style="38" customWidth="1"/>
    <col min="3072" max="3072" width="4.375" style="38" customWidth="1"/>
    <col min="3073" max="3075" width="9.375" style="38" customWidth="1"/>
    <col min="3076" max="3318" width="9" style="38"/>
    <col min="3319" max="3319" width="1" style="38" customWidth="1"/>
    <col min="3320" max="3320" width="16.25" style="38" customWidth="1"/>
    <col min="3321" max="3321" width="18.625" style="38" customWidth="1"/>
    <col min="3322" max="3322" width="6" style="38" customWidth="1"/>
    <col min="3323" max="3323" width="15.875" style="38" customWidth="1"/>
    <col min="3324" max="3324" width="10.375" style="38" customWidth="1"/>
    <col min="3325" max="3325" width="32.125" style="38" customWidth="1"/>
    <col min="3326" max="3326" width="13.625" style="38" customWidth="1"/>
    <col min="3327" max="3327" width="7.125" style="38" customWidth="1"/>
    <col min="3328" max="3328" width="4.375" style="38" customWidth="1"/>
    <col min="3329" max="3331" width="9.375" style="38" customWidth="1"/>
    <col min="3332" max="3574" width="9" style="38"/>
    <col min="3575" max="3575" width="1" style="38" customWidth="1"/>
    <col min="3576" max="3576" width="16.25" style="38" customWidth="1"/>
    <col min="3577" max="3577" width="18.625" style="38" customWidth="1"/>
    <col min="3578" max="3578" width="6" style="38" customWidth="1"/>
    <col min="3579" max="3579" width="15.875" style="38" customWidth="1"/>
    <col min="3580" max="3580" width="10.375" style="38" customWidth="1"/>
    <col min="3581" max="3581" width="32.125" style="38" customWidth="1"/>
    <col min="3582" max="3582" width="13.625" style="38" customWidth="1"/>
    <col min="3583" max="3583" width="7.125" style="38" customWidth="1"/>
    <col min="3584" max="3584" width="4.375" style="38" customWidth="1"/>
    <col min="3585" max="3587" width="9.375" style="38" customWidth="1"/>
    <col min="3588" max="3830" width="9" style="38"/>
    <col min="3831" max="3831" width="1" style="38" customWidth="1"/>
    <col min="3832" max="3832" width="16.25" style="38" customWidth="1"/>
    <col min="3833" max="3833" width="18.625" style="38" customWidth="1"/>
    <col min="3834" max="3834" width="6" style="38" customWidth="1"/>
    <col min="3835" max="3835" width="15.875" style="38" customWidth="1"/>
    <col min="3836" max="3836" width="10.375" style="38" customWidth="1"/>
    <col min="3837" max="3837" width="32.125" style="38" customWidth="1"/>
    <col min="3838" max="3838" width="13.625" style="38" customWidth="1"/>
    <col min="3839" max="3839" width="7.125" style="38" customWidth="1"/>
    <col min="3840" max="3840" width="4.375" style="38" customWidth="1"/>
    <col min="3841" max="3843" width="9.375" style="38" customWidth="1"/>
    <col min="3844" max="4086" width="9" style="38"/>
    <col min="4087" max="4087" width="1" style="38" customWidth="1"/>
    <col min="4088" max="4088" width="16.25" style="38" customWidth="1"/>
    <col min="4089" max="4089" width="18.625" style="38" customWidth="1"/>
    <col min="4090" max="4090" width="6" style="38" customWidth="1"/>
    <col min="4091" max="4091" width="15.875" style="38" customWidth="1"/>
    <col min="4092" max="4092" width="10.375" style="38" customWidth="1"/>
    <col min="4093" max="4093" width="32.125" style="38" customWidth="1"/>
    <col min="4094" max="4094" width="13.625" style="38" customWidth="1"/>
    <col min="4095" max="4095" width="7.125" style="38" customWidth="1"/>
    <col min="4096" max="4096" width="4.375" style="38" customWidth="1"/>
    <col min="4097" max="4099" width="9.375" style="38" customWidth="1"/>
    <col min="4100" max="4342" width="9" style="38"/>
    <col min="4343" max="4343" width="1" style="38" customWidth="1"/>
    <col min="4344" max="4344" width="16.25" style="38" customWidth="1"/>
    <col min="4345" max="4345" width="18.625" style="38" customWidth="1"/>
    <col min="4346" max="4346" width="6" style="38" customWidth="1"/>
    <col min="4347" max="4347" width="15.875" style="38" customWidth="1"/>
    <col min="4348" max="4348" width="10.375" style="38" customWidth="1"/>
    <col min="4349" max="4349" width="32.125" style="38" customWidth="1"/>
    <col min="4350" max="4350" width="13.625" style="38" customWidth="1"/>
    <col min="4351" max="4351" width="7.125" style="38" customWidth="1"/>
    <col min="4352" max="4352" width="4.375" style="38" customWidth="1"/>
    <col min="4353" max="4355" width="9.375" style="38" customWidth="1"/>
    <col min="4356" max="4598" width="9" style="38"/>
    <col min="4599" max="4599" width="1" style="38" customWidth="1"/>
    <col min="4600" max="4600" width="16.25" style="38" customWidth="1"/>
    <col min="4601" max="4601" width="18.625" style="38" customWidth="1"/>
    <col min="4602" max="4602" width="6" style="38" customWidth="1"/>
    <col min="4603" max="4603" width="15.875" style="38" customWidth="1"/>
    <col min="4604" max="4604" width="10.375" style="38" customWidth="1"/>
    <col min="4605" max="4605" width="32.125" style="38" customWidth="1"/>
    <col min="4606" max="4606" width="13.625" style="38" customWidth="1"/>
    <col min="4607" max="4607" width="7.125" style="38" customWidth="1"/>
    <col min="4608" max="4608" width="4.375" style="38" customWidth="1"/>
    <col min="4609" max="4611" width="9.375" style="38" customWidth="1"/>
    <col min="4612" max="4854" width="9" style="38"/>
    <col min="4855" max="4855" width="1" style="38" customWidth="1"/>
    <col min="4856" max="4856" width="16.25" style="38" customWidth="1"/>
    <col min="4857" max="4857" width="18.625" style="38" customWidth="1"/>
    <col min="4858" max="4858" width="6" style="38" customWidth="1"/>
    <col min="4859" max="4859" width="15.875" style="38" customWidth="1"/>
    <col min="4860" max="4860" width="10.375" style="38" customWidth="1"/>
    <col min="4861" max="4861" width="32.125" style="38" customWidth="1"/>
    <col min="4862" max="4862" width="13.625" style="38" customWidth="1"/>
    <col min="4863" max="4863" width="7.125" style="38" customWidth="1"/>
    <col min="4864" max="4864" width="4.375" style="38" customWidth="1"/>
    <col min="4865" max="4867" width="9.375" style="38" customWidth="1"/>
    <col min="4868" max="5110" width="9" style="38"/>
    <col min="5111" max="5111" width="1" style="38" customWidth="1"/>
    <col min="5112" max="5112" width="16.25" style="38" customWidth="1"/>
    <col min="5113" max="5113" width="18.625" style="38" customWidth="1"/>
    <col min="5114" max="5114" width="6" style="38" customWidth="1"/>
    <col min="5115" max="5115" width="15.875" style="38" customWidth="1"/>
    <col min="5116" max="5116" width="10.375" style="38" customWidth="1"/>
    <col min="5117" max="5117" width="32.125" style="38" customWidth="1"/>
    <col min="5118" max="5118" width="13.625" style="38" customWidth="1"/>
    <col min="5119" max="5119" width="7.125" style="38" customWidth="1"/>
    <col min="5120" max="5120" width="4.375" style="38" customWidth="1"/>
    <col min="5121" max="5123" width="9.375" style="38" customWidth="1"/>
    <col min="5124" max="5366" width="9" style="38"/>
    <col min="5367" max="5367" width="1" style="38" customWidth="1"/>
    <col min="5368" max="5368" width="16.25" style="38" customWidth="1"/>
    <col min="5369" max="5369" width="18.625" style="38" customWidth="1"/>
    <col min="5370" max="5370" width="6" style="38" customWidth="1"/>
    <col min="5371" max="5371" width="15.875" style="38" customWidth="1"/>
    <col min="5372" max="5372" width="10.375" style="38" customWidth="1"/>
    <col min="5373" max="5373" width="32.125" style="38" customWidth="1"/>
    <col min="5374" max="5374" width="13.625" style="38" customWidth="1"/>
    <col min="5375" max="5375" width="7.125" style="38" customWidth="1"/>
    <col min="5376" max="5376" width="4.375" style="38" customWidth="1"/>
    <col min="5377" max="5379" width="9.375" style="38" customWidth="1"/>
    <col min="5380" max="5622" width="9" style="38"/>
    <col min="5623" max="5623" width="1" style="38" customWidth="1"/>
    <col min="5624" max="5624" width="16.25" style="38" customWidth="1"/>
    <col min="5625" max="5625" width="18.625" style="38" customWidth="1"/>
    <col min="5626" max="5626" width="6" style="38" customWidth="1"/>
    <col min="5627" max="5627" width="15.875" style="38" customWidth="1"/>
    <col min="5628" max="5628" width="10.375" style="38" customWidth="1"/>
    <col min="5629" max="5629" width="32.125" style="38" customWidth="1"/>
    <col min="5630" max="5630" width="13.625" style="38" customWidth="1"/>
    <col min="5631" max="5631" width="7.125" style="38" customWidth="1"/>
    <col min="5632" max="5632" width="4.375" style="38" customWidth="1"/>
    <col min="5633" max="5635" width="9.375" style="38" customWidth="1"/>
    <col min="5636" max="5878" width="9" style="38"/>
    <col min="5879" max="5879" width="1" style="38" customWidth="1"/>
    <col min="5880" max="5880" width="16.25" style="38" customWidth="1"/>
    <col min="5881" max="5881" width="18.625" style="38" customWidth="1"/>
    <col min="5882" max="5882" width="6" style="38" customWidth="1"/>
    <col min="5883" max="5883" width="15.875" style="38" customWidth="1"/>
    <col min="5884" max="5884" width="10.375" style="38" customWidth="1"/>
    <col min="5885" max="5885" width="32.125" style="38" customWidth="1"/>
    <col min="5886" max="5886" width="13.625" style="38" customWidth="1"/>
    <col min="5887" max="5887" width="7.125" style="38" customWidth="1"/>
    <col min="5888" max="5888" width="4.375" style="38" customWidth="1"/>
    <col min="5889" max="5891" width="9.375" style="38" customWidth="1"/>
    <col min="5892" max="6134" width="9" style="38"/>
    <col min="6135" max="6135" width="1" style="38" customWidth="1"/>
    <col min="6136" max="6136" width="16.25" style="38" customWidth="1"/>
    <col min="6137" max="6137" width="18.625" style="38" customWidth="1"/>
    <col min="6138" max="6138" width="6" style="38" customWidth="1"/>
    <col min="6139" max="6139" width="15.875" style="38" customWidth="1"/>
    <col min="6140" max="6140" width="10.375" style="38" customWidth="1"/>
    <col min="6141" max="6141" width="32.125" style="38" customWidth="1"/>
    <col min="6142" max="6142" width="13.625" style="38" customWidth="1"/>
    <col min="6143" max="6143" width="7.125" style="38" customWidth="1"/>
    <col min="6144" max="6144" width="4.375" style="38" customWidth="1"/>
    <col min="6145" max="6147" width="9.375" style="38" customWidth="1"/>
    <col min="6148" max="6390" width="9" style="38"/>
    <col min="6391" max="6391" width="1" style="38" customWidth="1"/>
    <col min="6392" max="6392" width="16.25" style="38" customWidth="1"/>
    <col min="6393" max="6393" width="18.625" style="38" customWidth="1"/>
    <col min="6394" max="6394" width="6" style="38" customWidth="1"/>
    <col min="6395" max="6395" width="15.875" style="38" customWidth="1"/>
    <col min="6396" max="6396" width="10.375" style="38" customWidth="1"/>
    <col min="6397" max="6397" width="32.125" style="38" customWidth="1"/>
    <col min="6398" max="6398" width="13.625" style="38" customWidth="1"/>
    <col min="6399" max="6399" width="7.125" style="38" customWidth="1"/>
    <col min="6400" max="6400" width="4.375" style="38" customWidth="1"/>
    <col min="6401" max="6403" width="9.375" style="38" customWidth="1"/>
    <col min="6404" max="6646" width="9" style="38"/>
    <col min="6647" max="6647" width="1" style="38" customWidth="1"/>
    <col min="6648" max="6648" width="16.25" style="38" customWidth="1"/>
    <col min="6649" max="6649" width="18.625" style="38" customWidth="1"/>
    <col min="6650" max="6650" width="6" style="38" customWidth="1"/>
    <col min="6651" max="6651" width="15.875" style="38" customWidth="1"/>
    <col min="6652" max="6652" width="10.375" style="38" customWidth="1"/>
    <col min="6653" max="6653" width="32.125" style="38" customWidth="1"/>
    <col min="6654" max="6654" width="13.625" style="38" customWidth="1"/>
    <col min="6655" max="6655" width="7.125" style="38" customWidth="1"/>
    <col min="6656" max="6656" width="4.375" style="38" customWidth="1"/>
    <col min="6657" max="6659" width="9.375" style="38" customWidth="1"/>
    <col min="6660" max="6902" width="9" style="38"/>
    <col min="6903" max="6903" width="1" style="38" customWidth="1"/>
    <col min="6904" max="6904" width="16.25" style="38" customWidth="1"/>
    <col min="6905" max="6905" width="18.625" style="38" customWidth="1"/>
    <col min="6906" max="6906" width="6" style="38" customWidth="1"/>
    <col min="6907" max="6907" width="15.875" style="38" customWidth="1"/>
    <col min="6908" max="6908" width="10.375" style="38" customWidth="1"/>
    <col min="6909" max="6909" width="32.125" style="38" customWidth="1"/>
    <col min="6910" max="6910" width="13.625" style="38" customWidth="1"/>
    <col min="6911" max="6911" width="7.125" style="38" customWidth="1"/>
    <col min="6912" max="6912" width="4.375" style="38" customWidth="1"/>
    <col min="6913" max="6915" width="9.375" style="38" customWidth="1"/>
    <col min="6916" max="7158" width="9" style="38"/>
    <col min="7159" max="7159" width="1" style="38" customWidth="1"/>
    <col min="7160" max="7160" width="16.25" style="38" customWidth="1"/>
    <col min="7161" max="7161" width="18.625" style="38" customWidth="1"/>
    <col min="7162" max="7162" width="6" style="38" customWidth="1"/>
    <col min="7163" max="7163" width="15.875" style="38" customWidth="1"/>
    <col min="7164" max="7164" width="10.375" style="38" customWidth="1"/>
    <col min="7165" max="7165" width="32.125" style="38" customWidth="1"/>
    <col min="7166" max="7166" width="13.625" style="38" customWidth="1"/>
    <col min="7167" max="7167" width="7.125" style="38" customWidth="1"/>
    <col min="7168" max="7168" width="4.375" style="38" customWidth="1"/>
    <col min="7169" max="7171" width="9.375" style="38" customWidth="1"/>
    <col min="7172" max="7414" width="9" style="38"/>
    <col min="7415" max="7415" width="1" style="38" customWidth="1"/>
    <col min="7416" max="7416" width="16.25" style="38" customWidth="1"/>
    <col min="7417" max="7417" width="18.625" style="38" customWidth="1"/>
    <col min="7418" max="7418" width="6" style="38" customWidth="1"/>
    <col min="7419" max="7419" width="15.875" style="38" customWidth="1"/>
    <col min="7420" max="7420" width="10.375" style="38" customWidth="1"/>
    <col min="7421" max="7421" width="32.125" style="38" customWidth="1"/>
    <col min="7422" max="7422" width="13.625" style="38" customWidth="1"/>
    <col min="7423" max="7423" width="7.125" style="38" customWidth="1"/>
    <col min="7424" max="7424" width="4.375" style="38" customWidth="1"/>
    <col min="7425" max="7427" width="9.375" style="38" customWidth="1"/>
    <col min="7428" max="7670" width="9" style="38"/>
    <col min="7671" max="7671" width="1" style="38" customWidth="1"/>
    <col min="7672" max="7672" width="16.25" style="38" customWidth="1"/>
    <col min="7673" max="7673" width="18.625" style="38" customWidth="1"/>
    <col min="7674" max="7674" width="6" style="38" customWidth="1"/>
    <col min="7675" max="7675" width="15.875" style="38" customWidth="1"/>
    <col min="7676" max="7676" width="10.375" style="38" customWidth="1"/>
    <col min="7677" max="7677" width="32.125" style="38" customWidth="1"/>
    <col min="7678" max="7678" width="13.625" style="38" customWidth="1"/>
    <col min="7679" max="7679" width="7.125" style="38" customWidth="1"/>
    <col min="7680" max="7680" width="4.375" style="38" customWidth="1"/>
    <col min="7681" max="7683" width="9.375" style="38" customWidth="1"/>
    <col min="7684" max="7926" width="9" style="38"/>
    <col min="7927" max="7927" width="1" style="38" customWidth="1"/>
    <col min="7928" max="7928" width="16.25" style="38" customWidth="1"/>
    <col min="7929" max="7929" width="18.625" style="38" customWidth="1"/>
    <col min="7930" max="7930" width="6" style="38" customWidth="1"/>
    <col min="7931" max="7931" width="15.875" style="38" customWidth="1"/>
    <col min="7932" max="7932" width="10.375" style="38" customWidth="1"/>
    <col min="7933" max="7933" width="32.125" style="38" customWidth="1"/>
    <col min="7934" max="7934" width="13.625" style="38" customWidth="1"/>
    <col min="7935" max="7935" width="7.125" style="38" customWidth="1"/>
    <col min="7936" max="7936" width="4.375" style="38" customWidth="1"/>
    <col min="7937" max="7939" width="9.375" style="38" customWidth="1"/>
    <col min="7940" max="8182" width="9" style="38"/>
    <col min="8183" max="8183" width="1" style="38" customWidth="1"/>
    <col min="8184" max="8184" width="16.25" style="38" customWidth="1"/>
    <col min="8185" max="8185" width="18.625" style="38" customWidth="1"/>
    <col min="8186" max="8186" width="6" style="38" customWidth="1"/>
    <col min="8187" max="8187" width="15.875" style="38" customWidth="1"/>
    <col min="8188" max="8188" width="10.375" style="38" customWidth="1"/>
    <col min="8189" max="8189" width="32.125" style="38" customWidth="1"/>
    <col min="8190" max="8190" width="13.625" style="38" customWidth="1"/>
    <col min="8191" max="8191" width="7.125" style="38" customWidth="1"/>
    <col min="8192" max="8192" width="4.375" style="38" customWidth="1"/>
    <col min="8193" max="8195" width="9.375" style="38" customWidth="1"/>
    <col min="8196" max="8438" width="9" style="38"/>
    <col min="8439" max="8439" width="1" style="38" customWidth="1"/>
    <col min="8440" max="8440" width="16.25" style="38" customWidth="1"/>
    <col min="8441" max="8441" width="18.625" style="38" customWidth="1"/>
    <col min="8442" max="8442" width="6" style="38" customWidth="1"/>
    <col min="8443" max="8443" width="15.875" style="38" customWidth="1"/>
    <col min="8444" max="8444" width="10.375" style="38" customWidth="1"/>
    <col min="8445" max="8445" width="32.125" style="38" customWidth="1"/>
    <col min="8446" max="8446" width="13.625" style="38" customWidth="1"/>
    <col min="8447" max="8447" width="7.125" style="38" customWidth="1"/>
    <col min="8448" max="8448" width="4.375" style="38" customWidth="1"/>
    <col min="8449" max="8451" width="9.375" style="38" customWidth="1"/>
    <col min="8452" max="8694" width="9" style="38"/>
    <col min="8695" max="8695" width="1" style="38" customWidth="1"/>
    <col min="8696" max="8696" width="16.25" style="38" customWidth="1"/>
    <col min="8697" max="8697" width="18.625" style="38" customWidth="1"/>
    <col min="8698" max="8698" width="6" style="38" customWidth="1"/>
    <col min="8699" max="8699" width="15.875" style="38" customWidth="1"/>
    <col min="8700" max="8700" width="10.375" style="38" customWidth="1"/>
    <col min="8701" max="8701" width="32.125" style="38" customWidth="1"/>
    <col min="8702" max="8702" width="13.625" style="38" customWidth="1"/>
    <col min="8703" max="8703" width="7.125" style="38" customWidth="1"/>
    <col min="8704" max="8704" width="4.375" style="38" customWidth="1"/>
    <col min="8705" max="8707" width="9.375" style="38" customWidth="1"/>
    <col min="8708" max="8950" width="9" style="38"/>
    <col min="8951" max="8951" width="1" style="38" customWidth="1"/>
    <col min="8952" max="8952" width="16.25" style="38" customWidth="1"/>
    <col min="8953" max="8953" width="18.625" style="38" customWidth="1"/>
    <col min="8954" max="8954" width="6" style="38" customWidth="1"/>
    <col min="8955" max="8955" width="15.875" style="38" customWidth="1"/>
    <col min="8956" max="8956" width="10.375" style="38" customWidth="1"/>
    <col min="8957" max="8957" width="32.125" style="38" customWidth="1"/>
    <col min="8958" max="8958" width="13.625" style="38" customWidth="1"/>
    <col min="8959" max="8959" width="7.125" style="38" customWidth="1"/>
    <col min="8960" max="8960" width="4.375" style="38" customWidth="1"/>
    <col min="8961" max="8963" width="9.375" style="38" customWidth="1"/>
    <col min="8964" max="9206" width="9" style="38"/>
    <col min="9207" max="9207" width="1" style="38" customWidth="1"/>
    <col min="9208" max="9208" width="16.25" style="38" customWidth="1"/>
    <col min="9209" max="9209" width="18.625" style="38" customWidth="1"/>
    <col min="9210" max="9210" width="6" style="38" customWidth="1"/>
    <col min="9211" max="9211" width="15.875" style="38" customWidth="1"/>
    <col min="9212" max="9212" width="10.375" style="38" customWidth="1"/>
    <col min="9213" max="9213" width="32.125" style="38" customWidth="1"/>
    <col min="9214" max="9214" width="13.625" style="38" customWidth="1"/>
    <col min="9215" max="9215" width="7.125" style="38" customWidth="1"/>
    <col min="9216" max="9216" width="4.375" style="38" customWidth="1"/>
    <col min="9217" max="9219" width="9.375" style="38" customWidth="1"/>
    <col min="9220" max="9462" width="9" style="38"/>
    <col min="9463" max="9463" width="1" style="38" customWidth="1"/>
    <col min="9464" max="9464" width="16.25" style="38" customWidth="1"/>
    <col min="9465" max="9465" width="18.625" style="38" customWidth="1"/>
    <col min="9466" max="9466" width="6" style="38" customWidth="1"/>
    <col min="9467" max="9467" width="15.875" style="38" customWidth="1"/>
    <col min="9468" max="9468" width="10.375" style="38" customWidth="1"/>
    <col min="9469" max="9469" width="32.125" style="38" customWidth="1"/>
    <col min="9470" max="9470" width="13.625" style="38" customWidth="1"/>
    <col min="9471" max="9471" width="7.125" style="38" customWidth="1"/>
    <col min="9472" max="9472" width="4.375" style="38" customWidth="1"/>
    <col min="9473" max="9475" width="9.375" style="38" customWidth="1"/>
    <col min="9476" max="9718" width="9" style="38"/>
    <col min="9719" max="9719" width="1" style="38" customWidth="1"/>
    <col min="9720" max="9720" width="16.25" style="38" customWidth="1"/>
    <col min="9721" max="9721" width="18.625" style="38" customWidth="1"/>
    <col min="9722" max="9722" width="6" style="38" customWidth="1"/>
    <col min="9723" max="9723" width="15.875" style="38" customWidth="1"/>
    <col min="9724" max="9724" width="10.375" style="38" customWidth="1"/>
    <col min="9725" max="9725" width="32.125" style="38" customWidth="1"/>
    <col min="9726" max="9726" width="13.625" style="38" customWidth="1"/>
    <col min="9727" max="9727" width="7.125" style="38" customWidth="1"/>
    <col min="9728" max="9728" width="4.375" style="38" customWidth="1"/>
    <col min="9729" max="9731" width="9.375" style="38" customWidth="1"/>
    <col min="9732" max="9974" width="9" style="38"/>
    <col min="9975" max="9975" width="1" style="38" customWidth="1"/>
    <col min="9976" max="9976" width="16.25" style="38" customWidth="1"/>
    <col min="9977" max="9977" width="18.625" style="38" customWidth="1"/>
    <col min="9978" max="9978" width="6" style="38" customWidth="1"/>
    <col min="9979" max="9979" width="15.875" style="38" customWidth="1"/>
    <col min="9980" max="9980" width="10.375" style="38" customWidth="1"/>
    <col min="9981" max="9981" width="32.125" style="38" customWidth="1"/>
    <col min="9982" max="9982" width="13.625" style="38" customWidth="1"/>
    <col min="9983" max="9983" width="7.125" style="38" customWidth="1"/>
    <col min="9984" max="9984" width="4.375" style="38" customWidth="1"/>
    <col min="9985" max="9987" width="9.375" style="38" customWidth="1"/>
    <col min="9988" max="10230" width="9" style="38"/>
    <col min="10231" max="10231" width="1" style="38" customWidth="1"/>
    <col min="10232" max="10232" width="16.25" style="38" customWidth="1"/>
    <col min="10233" max="10233" width="18.625" style="38" customWidth="1"/>
    <col min="10234" max="10234" width="6" style="38" customWidth="1"/>
    <col min="10235" max="10235" width="15.875" style="38" customWidth="1"/>
    <col min="10236" max="10236" width="10.375" style="38" customWidth="1"/>
    <col min="10237" max="10237" width="32.125" style="38" customWidth="1"/>
    <col min="10238" max="10238" width="13.625" style="38" customWidth="1"/>
    <col min="10239" max="10239" width="7.125" style="38" customWidth="1"/>
    <col min="10240" max="10240" width="4.375" style="38" customWidth="1"/>
    <col min="10241" max="10243" width="9.375" style="38" customWidth="1"/>
    <col min="10244" max="10486" width="9" style="38"/>
    <col min="10487" max="10487" width="1" style="38" customWidth="1"/>
    <col min="10488" max="10488" width="16.25" style="38" customWidth="1"/>
    <col min="10489" max="10489" width="18.625" style="38" customWidth="1"/>
    <col min="10490" max="10490" width="6" style="38" customWidth="1"/>
    <col min="10491" max="10491" width="15.875" style="38" customWidth="1"/>
    <col min="10492" max="10492" width="10.375" style="38" customWidth="1"/>
    <col min="10493" max="10493" width="32.125" style="38" customWidth="1"/>
    <col min="10494" max="10494" width="13.625" style="38" customWidth="1"/>
    <col min="10495" max="10495" width="7.125" style="38" customWidth="1"/>
    <col min="10496" max="10496" width="4.375" style="38" customWidth="1"/>
    <col min="10497" max="10499" width="9.375" style="38" customWidth="1"/>
    <col min="10500" max="10742" width="9" style="38"/>
    <col min="10743" max="10743" width="1" style="38" customWidth="1"/>
    <col min="10744" max="10744" width="16.25" style="38" customWidth="1"/>
    <col min="10745" max="10745" width="18.625" style="38" customWidth="1"/>
    <col min="10746" max="10746" width="6" style="38" customWidth="1"/>
    <col min="10747" max="10747" width="15.875" style="38" customWidth="1"/>
    <col min="10748" max="10748" width="10.375" style="38" customWidth="1"/>
    <col min="10749" max="10749" width="32.125" style="38" customWidth="1"/>
    <col min="10750" max="10750" width="13.625" style="38" customWidth="1"/>
    <col min="10751" max="10751" width="7.125" style="38" customWidth="1"/>
    <col min="10752" max="10752" width="4.375" style="38" customWidth="1"/>
    <col min="10753" max="10755" width="9.375" style="38" customWidth="1"/>
    <col min="10756" max="10998" width="9" style="38"/>
    <col min="10999" max="10999" width="1" style="38" customWidth="1"/>
    <col min="11000" max="11000" width="16.25" style="38" customWidth="1"/>
    <col min="11001" max="11001" width="18.625" style="38" customWidth="1"/>
    <col min="11002" max="11002" width="6" style="38" customWidth="1"/>
    <col min="11003" max="11003" width="15.875" style="38" customWidth="1"/>
    <col min="11004" max="11004" width="10.375" style="38" customWidth="1"/>
    <col min="11005" max="11005" width="32.125" style="38" customWidth="1"/>
    <col min="11006" max="11006" width="13.625" style="38" customWidth="1"/>
    <col min="11007" max="11007" width="7.125" style="38" customWidth="1"/>
    <col min="11008" max="11008" width="4.375" style="38" customWidth="1"/>
    <col min="11009" max="11011" width="9.375" style="38" customWidth="1"/>
    <col min="11012" max="11254" width="9" style="38"/>
    <col min="11255" max="11255" width="1" style="38" customWidth="1"/>
    <col min="11256" max="11256" width="16.25" style="38" customWidth="1"/>
    <col min="11257" max="11257" width="18.625" style="38" customWidth="1"/>
    <col min="11258" max="11258" width="6" style="38" customWidth="1"/>
    <col min="11259" max="11259" width="15.875" style="38" customWidth="1"/>
    <col min="11260" max="11260" width="10.375" style="38" customWidth="1"/>
    <col min="11261" max="11261" width="32.125" style="38" customWidth="1"/>
    <col min="11262" max="11262" width="13.625" style="38" customWidth="1"/>
    <col min="11263" max="11263" width="7.125" style="38" customWidth="1"/>
    <col min="11264" max="11264" width="4.375" style="38" customWidth="1"/>
    <col min="11265" max="11267" width="9.375" style="38" customWidth="1"/>
    <col min="11268" max="11510" width="9" style="38"/>
    <col min="11511" max="11511" width="1" style="38" customWidth="1"/>
    <col min="11512" max="11512" width="16.25" style="38" customWidth="1"/>
    <col min="11513" max="11513" width="18.625" style="38" customWidth="1"/>
    <col min="11514" max="11514" width="6" style="38" customWidth="1"/>
    <col min="11515" max="11515" width="15.875" style="38" customWidth="1"/>
    <col min="11516" max="11516" width="10.375" style="38" customWidth="1"/>
    <col min="11517" max="11517" width="32.125" style="38" customWidth="1"/>
    <col min="11518" max="11518" width="13.625" style="38" customWidth="1"/>
    <col min="11519" max="11519" width="7.125" style="38" customWidth="1"/>
    <col min="11520" max="11520" width="4.375" style="38" customWidth="1"/>
    <col min="11521" max="11523" width="9.375" style="38" customWidth="1"/>
    <col min="11524" max="11766" width="9" style="38"/>
    <col min="11767" max="11767" width="1" style="38" customWidth="1"/>
    <col min="11768" max="11768" width="16.25" style="38" customWidth="1"/>
    <col min="11769" max="11769" width="18.625" style="38" customWidth="1"/>
    <col min="11770" max="11770" width="6" style="38" customWidth="1"/>
    <col min="11771" max="11771" width="15.875" style="38" customWidth="1"/>
    <col min="11772" max="11772" width="10.375" style="38" customWidth="1"/>
    <col min="11773" max="11773" width="32.125" style="38" customWidth="1"/>
    <col min="11774" max="11774" width="13.625" style="38" customWidth="1"/>
    <col min="11775" max="11775" width="7.125" style="38" customWidth="1"/>
    <col min="11776" max="11776" width="4.375" style="38" customWidth="1"/>
    <col min="11777" max="11779" width="9.375" style="38" customWidth="1"/>
    <col min="11780" max="12022" width="9" style="38"/>
    <col min="12023" max="12023" width="1" style="38" customWidth="1"/>
    <col min="12024" max="12024" width="16.25" style="38" customWidth="1"/>
    <col min="12025" max="12025" width="18.625" style="38" customWidth="1"/>
    <col min="12026" max="12026" width="6" style="38" customWidth="1"/>
    <col min="12027" max="12027" width="15.875" style="38" customWidth="1"/>
    <col min="12028" max="12028" width="10.375" style="38" customWidth="1"/>
    <col min="12029" max="12029" width="32.125" style="38" customWidth="1"/>
    <col min="12030" max="12030" width="13.625" style="38" customWidth="1"/>
    <col min="12031" max="12031" width="7.125" style="38" customWidth="1"/>
    <col min="12032" max="12032" width="4.375" style="38" customWidth="1"/>
    <col min="12033" max="12035" width="9.375" style="38" customWidth="1"/>
    <col min="12036" max="12278" width="9" style="38"/>
    <col min="12279" max="12279" width="1" style="38" customWidth="1"/>
    <col min="12280" max="12280" width="16.25" style="38" customWidth="1"/>
    <col min="12281" max="12281" width="18.625" style="38" customWidth="1"/>
    <col min="12282" max="12282" width="6" style="38" customWidth="1"/>
    <col min="12283" max="12283" width="15.875" style="38" customWidth="1"/>
    <col min="12284" max="12284" width="10.375" style="38" customWidth="1"/>
    <col min="12285" max="12285" width="32.125" style="38" customWidth="1"/>
    <col min="12286" max="12286" width="13.625" style="38" customWidth="1"/>
    <col min="12287" max="12287" width="7.125" style="38" customWidth="1"/>
    <col min="12288" max="12288" width="4.375" style="38" customWidth="1"/>
    <col min="12289" max="12291" width="9.375" style="38" customWidth="1"/>
    <col min="12292" max="12534" width="9" style="38"/>
    <col min="12535" max="12535" width="1" style="38" customWidth="1"/>
    <col min="12536" max="12536" width="16.25" style="38" customWidth="1"/>
    <col min="12537" max="12537" width="18.625" style="38" customWidth="1"/>
    <col min="12538" max="12538" width="6" style="38" customWidth="1"/>
    <col min="12539" max="12539" width="15.875" style="38" customWidth="1"/>
    <col min="12540" max="12540" width="10.375" style="38" customWidth="1"/>
    <col min="12541" max="12541" width="32.125" style="38" customWidth="1"/>
    <col min="12542" max="12542" width="13.625" style="38" customWidth="1"/>
    <col min="12543" max="12543" width="7.125" style="38" customWidth="1"/>
    <col min="12544" max="12544" width="4.375" style="38" customWidth="1"/>
    <col min="12545" max="12547" width="9.375" style="38" customWidth="1"/>
    <col min="12548" max="12790" width="9" style="38"/>
    <col min="12791" max="12791" width="1" style="38" customWidth="1"/>
    <col min="12792" max="12792" width="16.25" style="38" customWidth="1"/>
    <col min="12793" max="12793" width="18.625" style="38" customWidth="1"/>
    <col min="12794" max="12794" width="6" style="38" customWidth="1"/>
    <col min="12795" max="12795" width="15.875" style="38" customWidth="1"/>
    <col min="12796" max="12796" width="10.375" style="38" customWidth="1"/>
    <col min="12797" max="12797" width="32.125" style="38" customWidth="1"/>
    <col min="12798" max="12798" width="13.625" style="38" customWidth="1"/>
    <col min="12799" max="12799" width="7.125" style="38" customWidth="1"/>
    <col min="12800" max="12800" width="4.375" style="38" customWidth="1"/>
    <col min="12801" max="12803" width="9.375" style="38" customWidth="1"/>
    <col min="12804" max="13046" width="9" style="38"/>
    <col min="13047" max="13047" width="1" style="38" customWidth="1"/>
    <col min="13048" max="13048" width="16.25" style="38" customWidth="1"/>
    <col min="13049" max="13049" width="18.625" style="38" customWidth="1"/>
    <col min="13050" max="13050" width="6" style="38" customWidth="1"/>
    <col min="13051" max="13051" width="15.875" style="38" customWidth="1"/>
    <col min="13052" max="13052" width="10.375" style="38" customWidth="1"/>
    <col min="13053" max="13053" width="32.125" style="38" customWidth="1"/>
    <col min="13054" max="13054" width="13.625" style="38" customWidth="1"/>
    <col min="13055" max="13055" width="7.125" style="38" customWidth="1"/>
    <col min="13056" max="13056" width="4.375" style="38" customWidth="1"/>
    <col min="13057" max="13059" width="9.375" style="38" customWidth="1"/>
    <col min="13060" max="13302" width="9" style="38"/>
    <col min="13303" max="13303" width="1" style="38" customWidth="1"/>
    <col min="13304" max="13304" width="16.25" style="38" customWidth="1"/>
    <col min="13305" max="13305" width="18.625" style="38" customWidth="1"/>
    <col min="13306" max="13306" width="6" style="38" customWidth="1"/>
    <col min="13307" max="13307" width="15.875" style="38" customWidth="1"/>
    <col min="13308" max="13308" width="10.375" style="38" customWidth="1"/>
    <col min="13309" max="13309" width="32.125" style="38" customWidth="1"/>
    <col min="13310" max="13310" width="13.625" style="38" customWidth="1"/>
    <col min="13311" max="13311" width="7.125" style="38" customWidth="1"/>
    <col min="13312" max="13312" width="4.375" style="38" customWidth="1"/>
    <col min="13313" max="13315" width="9.375" style="38" customWidth="1"/>
    <col min="13316" max="13558" width="9" style="38"/>
    <col min="13559" max="13559" width="1" style="38" customWidth="1"/>
    <col min="13560" max="13560" width="16.25" style="38" customWidth="1"/>
    <col min="13561" max="13561" width="18.625" style="38" customWidth="1"/>
    <col min="13562" max="13562" width="6" style="38" customWidth="1"/>
    <col min="13563" max="13563" width="15.875" style="38" customWidth="1"/>
    <col min="13564" max="13564" width="10.375" style="38" customWidth="1"/>
    <col min="13565" max="13565" width="32.125" style="38" customWidth="1"/>
    <col min="13566" max="13566" width="13.625" style="38" customWidth="1"/>
    <col min="13567" max="13567" width="7.125" style="38" customWidth="1"/>
    <col min="13568" max="13568" width="4.375" style="38" customWidth="1"/>
    <col min="13569" max="13571" width="9.375" style="38" customWidth="1"/>
    <col min="13572" max="13814" width="9" style="38"/>
    <col min="13815" max="13815" width="1" style="38" customWidth="1"/>
    <col min="13816" max="13816" width="16.25" style="38" customWidth="1"/>
    <col min="13817" max="13817" width="18.625" style="38" customWidth="1"/>
    <col min="13818" max="13818" width="6" style="38" customWidth="1"/>
    <col min="13819" max="13819" width="15.875" style="38" customWidth="1"/>
    <col min="13820" max="13820" width="10.375" style="38" customWidth="1"/>
    <col min="13821" max="13821" width="32.125" style="38" customWidth="1"/>
    <col min="13822" max="13822" width="13.625" style="38" customWidth="1"/>
    <col min="13823" max="13823" width="7.125" style="38" customWidth="1"/>
    <col min="13824" max="13824" width="4.375" style="38" customWidth="1"/>
    <col min="13825" max="13827" width="9.375" style="38" customWidth="1"/>
    <col min="13828" max="14070" width="9" style="38"/>
    <col min="14071" max="14071" width="1" style="38" customWidth="1"/>
    <col min="14072" max="14072" width="16.25" style="38" customWidth="1"/>
    <col min="14073" max="14073" width="18.625" style="38" customWidth="1"/>
    <col min="14074" max="14074" width="6" style="38" customWidth="1"/>
    <col min="14075" max="14075" width="15.875" style="38" customWidth="1"/>
    <col min="14076" max="14076" width="10.375" style="38" customWidth="1"/>
    <col min="14077" max="14077" width="32.125" style="38" customWidth="1"/>
    <col min="14078" max="14078" width="13.625" style="38" customWidth="1"/>
    <col min="14079" max="14079" width="7.125" style="38" customWidth="1"/>
    <col min="14080" max="14080" width="4.375" style="38" customWidth="1"/>
    <col min="14081" max="14083" width="9.375" style="38" customWidth="1"/>
    <col min="14084" max="14326" width="9" style="38"/>
    <col min="14327" max="14327" width="1" style="38" customWidth="1"/>
    <col min="14328" max="14328" width="16.25" style="38" customWidth="1"/>
    <col min="14329" max="14329" width="18.625" style="38" customWidth="1"/>
    <col min="14330" max="14330" width="6" style="38" customWidth="1"/>
    <col min="14331" max="14331" width="15.875" style="38" customWidth="1"/>
    <col min="14332" max="14332" width="10.375" style="38" customWidth="1"/>
    <col min="14333" max="14333" width="32.125" style="38" customWidth="1"/>
    <col min="14334" max="14334" width="13.625" style="38" customWidth="1"/>
    <col min="14335" max="14335" width="7.125" style="38" customWidth="1"/>
    <col min="14336" max="14336" width="4.375" style="38" customWidth="1"/>
    <col min="14337" max="14339" width="9.375" style="38" customWidth="1"/>
    <col min="14340" max="14582" width="9" style="38"/>
    <col min="14583" max="14583" width="1" style="38" customWidth="1"/>
    <col min="14584" max="14584" width="16.25" style="38" customWidth="1"/>
    <col min="14585" max="14585" width="18.625" style="38" customWidth="1"/>
    <col min="14586" max="14586" width="6" style="38" customWidth="1"/>
    <col min="14587" max="14587" width="15.875" style="38" customWidth="1"/>
    <col min="14588" max="14588" width="10.375" style="38" customWidth="1"/>
    <col min="14589" max="14589" width="32.125" style="38" customWidth="1"/>
    <col min="14590" max="14590" width="13.625" style="38" customWidth="1"/>
    <col min="14591" max="14591" width="7.125" style="38" customWidth="1"/>
    <col min="14592" max="14592" width="4.375" style="38" customWidth="1"/>
    <col min="14593" max="14595" width="9.375" style="38" customWidth="1"/>
    <col min="14596" max="14838" width="9" style="38"/>
    <col min="14839" max="14839" width="1" style="38" customWidth="1"/>
    <col min="14840" max="14840" width="16.25" style="38" customWidth="1"/>
    <col min="14841" max="14841" width="18.625" style="38" customWidth="1"/>
    <col min="14842" max="14842" width="6" style="38" customWidth="1"/>
    <col min="14843" max="14843" width="15.875" style="38" customWidth="1"/>
    <col min="14844" max="14844" width="10.375" style="38" customWidth="1"/>
    <col min="14845" max="14845" width="32.125" style="38" customWidth="1"/>
    <col min="14846" max="14846" width="13.625" style="38" customWidth="1"/>
    <col min="14847" max="14847" width="7.125" style="38" customWidth="1"/>
    <col min="14848" max="14848" width="4.375" style="38" customWidth="1"/>
    <col min="14849" max="14851" width="9.375" style="38" customWidth="1"/>
    <col min="14852" max="15094" width="9" style="38"/>
    <col min="15095" max="15095" width="1" style="38" customWidth="1"/>
    <col min="15096" max="15096" width="16.25" style="38" customWidth="1"/>
    <col min="15097" max="15097" width="18.625" style="38" customWidth="1"/>
    <col min="15098" max="15098" width="6" style="38" customWidth="1"/>
    <col min="15099" max="15099" width="15.875" style="38" customWidth="1"/>
    <col min="15100" max="15100" width="10.375" style="38" customWidth="1"/>
    <col min="15101" max="15101" width="32.125" style="38" customWidth="1"/>
    <col min="15102" max="15102" width="13.625" style="38" customWidth="1"/>
    <col min="15103" max="15103" width="7.125" style="38" customWidth="1"/>
    <col min="15104" max="15104" width="4.375" style="38" customWidth="1"/>
    <col min="15105" max="15107" width="9.375" style="38" customWidth="1"/>
    <col min="15108" max="15350" width="9" style="38"/>
    <col min="15351" max="15351" width="1" style="38" customWidth="1"/>
    <col min="15352" max="15352" width="16.25" style="38" customWidth="1"/>
    <col min="15353" max="15353" width="18.625" style="38" customWidth="1"/>
    <col min="15354" max="15354" width="6" style="38" customWidth="1"/>
    <col min="15355" max="15355" width="15.875" style="38" customWidth="1"/>
    <col min="15356" max="15356" width="10.375" style="38" customWidth="1"/>
    <col min="15357" max="15357" width="32.125" style="38" customWidth="1"/>
    <col min="15358" max="15358" width="13.625" style="38" customWidth="1"/>
    <col min="15359" max="15359" width="7.125" style="38" customWidth="1"/>
    <col min="15360" max="15360" width="4.375" style="38" customWidth="1"/>
    <col min="15361" max="15363" width="9.375" style="38" customWidth="1"/>
    <col min="15364" max="15606" width="9" style="38"/>
    <col min="15607" max="15607" width="1" style="38" customWidth="1"/>
    <col min="15608" max="15608" width="16.25" style="38" customWidth="1"/>
    <col min="15609" max="15609" width="18.625" style="38" customWidth="1"/>
    <col min="15610" max="15610" width="6" style="38" customWidth="1"/>
    <col min="15611" max="15611" width="15.875" style="38" customWidth="1"/>
    <col min="15612" max="15612" width="10.375" style="38" customWidth="1"/>
    <col min="15613" max="15613" width="32.125" style="38" customWidth="1"/>
    <col min="15614" max="15614" width="13.625" style="38" customWidth="1"/>
    <col min="15615" max="15615" width="7.125" style="38" customWidth="1"/>
    <col min="15616" max="15616" width="4.375" style="38" customWidth="1"/>
    <col min="15617" max="15619" width="9.375" style="38" customWidth="1"/>
    <col min="15620" max="15862" width="9" style="38"/>
    <col min="15863" max="15863" width="1" style="38" customWidth="1"/>
    <col min="15864" max="15864" width="16.25" style="38" customWidth="1"/>
    <col min="15865" max="15865" width="18.625" style="38" customWidth="1"/>
    <col min="15866" max="15866" width="6" style="38" customWidth="1"/>
    <col min="15867" max="15867" width="15.875" style="38" customWidth="1"/>
    <col min="15868" max="15868" width="10.375" style="38" customWidth="1"/>
    <col min="15869" max="15869" width="32.125" style="38" customWidth="1"/>
    <col min="15870" max="15870" width="13.625" style="38" customWidth="1"/>
    <col min="15871" max="15871" width="7.125" style="38" customWidth="1"/>
    <col min="15872" max="15872" width="4.375" style="38" customWidth="1"/>
    <col min="15873" max="15875" width="9.375" style="38" customWidth="1"/>
    <col min="15876" max="16118" width="9" style="38"/>
    <col min="16119" max="16119" width="1" style="38" customWidth="1"/>
    <col min="16120" max="16120" width="16.25" style="38" customWidth="1"/>
    <col min="16121" max="16121" width="18.625" style="38" customWidth="1"/>
    <col min="16122" max="16122" width="6" style="38" customWidth="1"/>
    <col min="16123" max="16123" width="15.875" style="38" customWidth="1"/>
    <col min="16124" max="16124" width="10.375" style="38" customWidth="1"/>
    <col min="16125" max="16125" width="32.125" style="38" customWidth="1"/>
    <col min="16126" max="16126" width="13.625" style="38" customWidth="1"/>
    <col min="16127" max="16127" width="7.125" style="38" customWidth="1"/>
    <col min="16128" max="16128" width="4.375" style="38" customWidth="1"/>
    <col min="16129" max="16131" width="9.375" style="38" customWidth="1"/>
    <col min="16132" max="16384" width="9" style="38"/>
  </cols>
  <sheetData>
    <row r="1" spans="2:11" ht="61.5" customHeight="1" x14ac:dyDescent="0.25">
      <c r="F1" s="353" t="s">
        <v>192</v>
      </c>
      <c r="K1" s="354" t="s">
        <v>193</v>
      </c>
    </row>
    <row r="2" spans="2:11" ht="69.75" customHeight="1" x14ac:dyDescent="0.25">
      <c r="C2" s="42" t="s">
        <v>7</v>
      </c>
      <c r="D2" s="411" t="s">
        <v>80</v>
      </c>
      <c r="E2" s="411"/>
      <c r="G2" s="54"/>
    </row>
    <row r="3" spans="2:11" ht="41.25" customHeight="1" x14ac:dyDescent="0.2">
      <c r="C3" s="42" t="s">
        <v>15</v>
      </c>
      <c r="D3" s="412" t="s">
        <v>202</v>
      </c>
      <c r="E3" s="412"/>
      <c r="F3" s="412"/>
      <c r="G3" s="412"/>
    </row>
    <row r="4" spans="2:11" ht="21" customHeight="1" x14ac:dyDescent="0.2">
      <c r="B4" s="34"/>
      <c r="D4" s="412"/>
      <c r="E4" s="412"/>
      <c r="F4" s="412"/>
      <c r="G4" s="412"/>
    </row>
    <row r="5" spans="2:11" ht="1.5" customHeight="1" x14ac:dyDescent="0.25">
      <c r="B5" s="413"/>
      <c r="C5" s="413"/>
      <c r="D5" s="413"/>
      <c r="E5" s="413"/>
      <c r="G5" s="56">
        <v>0.4</v>
      </c>
    </row>
    <row r="6" spans="2:11" ht="57" customHeight="1" x14ac:dyDescent="0.25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171</v>
      </c>
      <c r="I6" s="86" t="s">
        <v>173</v>
      </c>
      <c r="J6" s="86" t="s">
        <v>139</v>
      </c>
      <c r="K6" s="87" t="s">
        <v>39</v>
      </c>
    </row>
    <row r="7" spans="2:11" ht="69" customHeight="1" x14ac:dyDescent="0.2">
      <c r="B7" s="414" t="s">
        <v>20</v>
      </c>
      <c r="C7" s="280">
        <v>42495</v>
      </c>
      <c r="D7" s="281">
        <v>42504</v>
      </c>
      <c r="E7" s="88" t="s">
        <v>81</v>
      </c>
      <c r="F7" s="363" t="s">
        <v>176</v>
      </c>
      <c r="G7" s="89">
        <v>1500</v>
      </c>
      <c r="H7" s="89">
        <v>26.4</v>
      </c>
      <c r="I7" s="299"/>
      <c r="J7" s="89">
        <v>1526.4</v>
      </c>
      <c r="K7" s="90">
        <v>1043</v>
      </c>
    </row>
    <row r="8" spans="2:11" ht="53.25" customHeight="1" x14ac:dyDescent="0.2">
      <c r="B8" s="414"/>
      <c r="C8" s="280">
        <v>43008</v>
      </c>
      <c r="D8" s="281">
        <v>43020</v>
      </c>
      <c r="E8" s="88" t="s">
        <v>125</v>
      </c>
      <c r="F8" s="296" t="s">
        <v>175</v>
      </c>
      <c r="G8" s="89">
        <v>478</v>
      </c>
      <c r="H8" s="89"/>
      <c r="I8" s="299">
        <v>5.74</v>
      </c>
      <c r="J8" s="89">
        <v>483.74</v>
      </c>
      <c r="K8" s="90">
        <v>880</v>
      </c>
    </row>
    <row r="9" spans="2:11" ht="13.15" hidden="1" x14ac:dyDescent="0.25">
      <c r="C9" s="115"/>
      <c r="D9" s="116"/>
      <c r="E9" s="304"/>
      <c r="F9" s="304"/>
      <c r="G9" s="305"/>
      <c r="H9" s="306"/>
      <c r="I9" s="306"/>
      <c r="J9" s="305"/>
      <c r="K9" s="117"/>
    </row>
    <row r="10" spans="2:11" ht="13.15" hidden="1" x14ac:dyDescent="0.25">
      <c r="C10" s="115"/>
      <c r="D10" s="116"/>
      <c r="E10" s="304"/>
      <c r="F10" s="304"/>
      <c r="G10" s="305"/>
      <c r="H10" s="306"/>
      <c r="I10" s="306"/>
      <c r="J10" s="305"/>
      <c r="K10" s="117"/>
    </row>
    <row r="11" spans="2:11" ht="39.6" hidden="1" x14ac:dyDescent="0.25">
      <c r="C11" s="300" t="s">
        <v>105</v>
      </c>
      <c r="D11" s="229" t="s">
        <v>106</v>
      </c>
      <c r="E11" s="230" t="s">
        <v>164</v>
      </c>
      <c r="F11" s="230" t="s">
        <v>165</v>
      </c>
      <c r="G11" s="301" t="s">
        <v>170</v>
      </c>
      <c r="H11" s="302" t="s">
        <v>167</v>
      </c>
      <c r="I11" s="302" t="s">
        <v>169</v>
      </c>
      <c r="J11" s="302" t="s">
        <v>4</v>
      </c>
      <c r="K11" s="160" t="s">
        <v>18</v>
      </c>
    </row>
    <row r="12" spans="2:11" x14ac:dyDescent="0.2">
      <c r="C12" s="157">
        <v>43094</v>
      </c>
      <c r="D12" s="158">
        <v>43095</v>
      </c>
      <c r="E12" s="91" t="s">
        <v>203</v>
      </c>
      <c r="F12" s="91" t="s">
        <v>204</v>
      </c>
      <c r="G12" s="112">
        <v>500</v>
      </c>
      <c r="H12" s="79">
        <f>IF(ISBLANK(GSOperating[[#This Row],[UnrecoverableNotCalc]]), GSOperating[[#This Row],[Cost(ExclHST)]]*0.0176, 0)</f>
        <v>8.8000000000000007</v>
      </c>
      <c r="I12" s="113"/>
      <c r="J12" s="114">
        <f>GSOperating[Cost(ExclHST)]+GSOperating[Unrecoverable]+GSOperating[[#This Row],[UnrecoverableNotCalc]]</f>
        <v>508.8</v>
      </c>
      <c r="K12" s="347" t="s">
        <v>205</v>
      </c>
    </row>
    <row r="13" spans="2:11" ht="13.15" x14ac:dyDescent="0.25">
      <c r="C13" s="157"/>
      <c r="D13" s="158"/>
      <c r="E13" s="91"/>
      <c r="F13" s="91"/>
      <c r="G13" s="112"/>
      <c r="H13" s="79">
        <f>IF(ISBLANK(GSOperating[[#This Row],[UnrecoverableNotCalc]]), GSOperating[[#This Row],[Cost(ExclHST)]]*0.0176, 0)</f>
        <v>0</v>
      </c>
      <c r="I13" s="113"/>
      <c r="J13" s="114">
        <f>GSOperating[Cost(ExclHST)]+GSOperating[Unrecoverable]+GSOperating[[#This Row],[UnrecoverableNotCalc]]</f>
        <v>0</v>
      </c>
      <c r="K13" s="347"/>
    </row>
    <row r="14" spans="2:11" ht="13.15" x14ac:dyDescent="0.25">
      <c r="C14" s="157"/>
      <c r="D14" s="158"/>
      <c r="E14" s="91"/>
      <c r="F14" s="91"/>
      <c r="G14" s="112"/>
      <c r="H14" s="79">
        <f>IF(ISBLANK(GSOperating[[#This Row],[UnrecoverableNotCalc]]), GSOperating[[#This Row],[Cost(ExclHST)]]*0.0176, 0)</f>
        <v>0</v>
      </c>
      <c r="I14" s="113"/>
      <c r="J14" s="114">
        <f>GSOperating[Cost(ExclHST)]+GSOperating[Unrecoverable]+GSOperating[[#This Row],[UnrecoverableNotCalc]]</f>
        <v>0</v>
      </c>
      <c r="K14" s="347"/>
    </row>
    <row r="15" spans="2:11" ht="13.15" x14ac:dyDescent="0.25">
      <c r="C15" s="157"/>
      <c r="D15" s="239"/>
      <c r="E15" s="160"/>
      <c r="F15" s="160"/>
      <c r="G15" s="161"/>
      <c r="H15" s="79">
        <f>IF(ISBLANK(GSOperating[[#This Row],[UnrecoverableNotCalc]]), GSOperating[[#This Row],[Cost(ExclHST)]]*0.0176, 0)</f>
        <v>0</v>
      </c>
      <c r="I15" s="113"/>
      <c r="J15" s="114">
        <f>GSOperating[Cost(ExclHST)]+GSOperating[Unrecoverable]+GSOperating[[#This Row],[UnrecoverableNotCalc]]</f>
        <v>0</v>
      </c>
      <c r="K15" s="348"/>
    </row>
    <row r="16" spans="2:11" ht="13.15" x14ac:dyDescent="0.25">
      <c r="C16" s="157"/>
      <c r="D16" s="239"/>
      <c r="E16" s="160"/>
      <c r="F16" s="160"/>
      <c r="G16" s="161"/>
      <c r="H16" s="79">
        <f>IF(ISBLANK(GSOperating[[#This Row],[UnrecoverableNotCalc]]), GSOperating[[#This Row],[Cost(ExclHST)]]*0.0176, 0)</f>
        <v>0</v>
      </c>
      <c r="I16" s="113"/>
      <c r="J16" s="114">
        <f>GSOperating[Cost(ExclHST)]+GSOperating[Unrecoverable]+GSOperating[[#This Row],[UnrecoverableNotCalc]]</f>
        <v>0</v>
      </c>
      <c r="K16" s="348"/>
    </row>
    <row r="17" spans="3:11" ht="13.15" x14ac:dyDescent="0.25">
      <c r="C17" s="157"/>
      <c r="D17" s="239"/>
      <c r="E17" s="160"/>
      <c r="F17" s="160"/>
      <c r="G17" s="161"/>
      <c r="H17" s="79">
        <f>IF(ISBLANK(GSOperating[[#This Row],[UnrecoverableNotCalc]]), GSOperating[[#This Row],[Cost(ExclHST)]]*0.0176, 0)</f>
        <v>0</v>
      </c>
      <c r="I17" s="113"/>
      <c r="J17" s="114">
        <f>GSOperating[Cost(ExclHST)]+GSOperating[Unrecoverable]+GSOperating[[#This Row],[UnrecoverableNotCalc]]</f>
        <v>0</v>
      </c>
      <c r="K17" s="348"/>
    </row>
    <row r="18" spans="3:11" ht="13.15" x14ac:dyDescent="0.25">
      <c r="C18" s="157"/>
      <c r="D18" s="239"/>
      <c r="E18" s="160"/>
      <c r="F18" s="160"/>
      <c r="G18" s="161"/>
      <c r="H18" s="79">
        <f>IF(ISBLANK(GSOperating[[#This Row],[UnrecoverableNotCalc]]), GSOperating[[#This Row],[Cost(ExclHST)]]*0.0176, 0)</f>
        <v>0</v>
      </c>
      <c r="I18" s="113"/>
      <c r="J18" s="114">
        <f>GSOperating[Cost(ExclHST)]+GSOperating[Unrecoverable]+GSOperating[[#This Row],[UnrecoverableNotCalc]]</f>
        <v>0</v>
      </c>
      <c r="K18" s="348"/>
    </row>
    <row r="19" spans="3:11" ht="13.15" x14ac:dyDescent="0.25">
      <c r="C19" s="157"/>
      <c r="D19" s="239"/>
      <c r="E19" s="160"/>
      <c r="F19" s="160"/>
      <c r="G19" s="161"/>
      <c r="H19" s="79">
        <f>IF(ISBLANK(GSOperating[[#This Row],[UnrecoverableNotCalc]]), GSOperating[[#This Row],[Cost(ExclHST)]]*0.0176, 0)</f>
        <v>0</v>
      </c>
      <c r="I19" s="113"/>
      <c r="J19" s="114">
        <f>GSOperating[Cost(ExclHST)]+GSOperating[Unrecoverable]+GSOperating[[#This Row],[UnrecoverableNotCalc]]</f>
        <v>0</v>
      </c>
      <c r="K19" s="348"/>
    </row>
    <row r="20" spans="3:11" x14ac:dyDescent="0.2">
      <c r="C20" s="157"/>
      <c r="D20" s="239"/>
      <c r="E20" s="160"/>
      <c r="F20" s="160"/>
      <c r="G20" s="161"/>
      <c r="H20" s="79">
        <f>IF(ISBLANK(GSOperating[[#This Row],[UnrecoverableNotCalc]]), GSOperating[[#This Row],[Cost(ExclHST)]]*0.0176, 0)</f>
        <v>0</v>
      </c>
      <c r="I20" s="113"/>
      <c r="J20" s="114">
        <f>GSOperating[Cost(ExclHST)]+GSOperating[Unrecoverable]+GSOperating[[#This Row],[UnrecoverableNotCalc]]</f>
        <v>0</v>
      </c>
      <c r="K20" s="348"/>
    </row>
    <row r="21" spans="3:11" x14ac:dyDescent="0.2">
      <c r="C21" s="157"/>
      <c r="D21" s="239"/>
      <c r="E21" s="160"/>
      <c r="F21" s="160"/>
      <c r="G21" s="161"/>
      <c r="H21" s="79">
        <f>IF(ISBLANK(GSOperating[[#This Row],[UnrecoverableNotCalc]]), GSOperating[[#This Row],[Cost(ExclHST)]]*0.0176, 0)</f>
        <v>0</v>
      </c>
      <c r="I21" s="113"/>
      <c r="J21" s="114">
        <f>GSOperating[Cost(ExclHST)]+GSOperating[Unrecoverable]+GSOperating[[#This Row],[UnrecoverableNotCalc]]</f>
        <v>0</v>
      </c>
      <c r="K21" s="348"/>
    </row>
    <row r="22" spans="3:11" ht="15.75" thickBot="1" x14ac:dyDescent="0.25">
      <c r="C22" s="108"/>
      <c r="D22" s="109"/>
      <c r="F22" s="41" t="s">
        <v>63</v>
      </c>
      <c r="G22" s="119">
        <f>SUM(GSOperating[Cost(ExclHST)])</f>
        <v>500</v>
      </c>
      <c r="H22" s="118">
        <f>SUM(GSOperating[Unrecoverable])</f>
        <v>8.8000000000000007</v>
      </c>
      <c r="I22" s="118">
        <f>SUM(GSOperating[Total])</f>
        <v>508.8</v>
      </c>
    </row>
    <row r="23" spans="3:11" ht="15" thickTop="1" x14ac:dyDescent="0.2">
      <c r="C23" s="110"/>
      <c r="D23" s="107"/>
    </row>
    <row r="24" spans="3:11" x14ac:dyDescent="0.2">
      <c r="C24" s="107"/>
      <c r="D24" s="107"/>
    </row>
  </sheetData>
  <sheetProtection selectLockedCells="1"/>
  <mergeCells count="4">
    <mergeCell ref="D2:E2"/>
    <mergeCell ref="D3:G4"/>
    <mergeCell ref="B5:E5"/>
    <mergeCell ref="B7:B8"/>
  </mergeCells>
  <conditionalFormatting sqref="K12:K21">
    <cfRule type="expression" dxfId="222" priority="1" stopIfTrue="1">
      <formula>$J12=0</formula>
    </cfRule>
    <cfRule type="expression" dxfId="221" priority="3">
      <formula>$K12=0</formula>
    </cfRule>
  </conditionalFormatting>
  <dataValidations xWindow="179" yWindow="615" count="2">
    <dataValidation type="date" allowBlank="1" showErrorMessage="1" errorTitle="Error" error="Please enter a valid date in the format YYYY/MM/DD" sqref="C12:D21">
      <formula1>41640</formula1>
      <formula2>73415</formula2>
    </dataValidation>
    <dataValidation type="decimal" allowBlank="1" showInputMessage="1" showErrorMessage="1" errorTitle="Error" error="Please enter a dollar value" sqref="G12:I21">
      <formula1>0</formula1>
      <formula2>500000000</formula2>
    </dataValidation>
  </dataValidations>
  <pageMargins left="0.25" right="0.25" top="0.875" bottom="0.75" header="0.3" footer="0.3"/>
  <pageSetup paperSize="5" scale="68" fitToHeight="0" orientation="landscape" horizontalDpi="300" verticalDpi="300" r:id="rId1"/>
  <headerFooter>
    <oddHeader>&amp;L&amp;G&amp;C&amp;"Arial,Bold"&amp;18&amp;K000000Goods and Services Operating Costs&amp;R&amp;"-,Bold"Municipal Disaster Recovery Assistance Program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557630"/>
    <pageSetUpPr fitToPage="1"/>
  </sheetPr>
  <dimension ref="B1:L23"/>
  <sheetViews>
    <sheetView showGridLines="0" zoomScale="80" zoomScaleNormal="80" zoomScalePageLayoutView="80" workbookViewId="0">
      <pane ySplit="6" topLeftCell="A7" activePane="bottomLeft" state="frozen"/>
      <selection pane="bottomLeft" activeCell="K10" sqref="K10"/>
    </sheetView>
  </sheetViews>
  <sheetFormatPr defaultRowHeight="12.75" x14ac:dyDescent="0.2"/>
  <cols>
    <col min="1" max="1" width="1" style="38" customWidth="1"/>
    <col min="2" max="2" width="2.625" style="38" customWidth="1"/>
    <col min="3" max="3" width="15" style="38" customWidth="1"/>
    <col min="4" max="4" width="14.375" style="38" customWidth="1"/>
    <col min="5" max="5" width="37.5" style="38" customWidth="1"/>
    <col min="6" max="6" width="48.75" style="38" customWidth="1"/>
    <col min="7" max="7" width="14.375" style="58" customWidth="1"/>
    <col min="8" max="8" width="16.75" style="38" customWidth="1"/>
    <col min="9" max="9" width="23.5" style="38" customWidth="1"/>
    <col min="10" max="10" width="16.75" style="38" customWidth="1"/>
    <col min="11" max="11" width="14.375" style="38" customWidth="1"/>
    <col min="12" max="249" width="9" style="38"/>
    <col min="250" max="250" width="1" style="38" customWidth="1"/>
    <col min="251" max="251" width="16.25" style="38" customWidth="1"/>
    <col min="252" max="252" width="18.625" style="38" customWidth="1"/>
    <col min="253" max="253" width="6" style="38" customWidth="1"/>
    <col min="254" max="254" width="15.875" style="38" customWidth="1"/>
    <col min="255" max="255" width="10.375" style="38" customWidth="1"/>
    <col min="256" max="256" width="32.125" style="38" customWidth="1"/>
    <col min="257" max="257" width="13.625" style="38" customWidth="1"/>
    <col min="258" max="258" width="7.125" style="38" customWidth="1"/>
    <col min="259" max="259" width="4.375" style="38" customWidth="1"/>
    <col min="260" max="262" width="9.375" style="38" customWidth="1"/>
    <col min="263" max="505" width="9" style="38"/>
    <col min="506" max="506" width="1" style="38" customWidth="1"/>
    <col min="507" max="507" width="16.25" style="38" customWidth="1"/>
    <col min="508" max="508" width="18.625" style="38" customWidth="1"/>
    <col min="509" max="509" width="6" style="38" customWidth="1"/>
    <col min="510" max="510" width="15.875" style="38" customWidth="1"/>
    <col min="511" max="511" width="10.375" style="38" customWidth="1"/>
    <col min="512" max="512" width="32.125" style="38" customWidth="1"/>
    <col min="513" max="513" width="13.625" style="38" customWidth="1"/>
    <col min="514" max="514" width="7.125" style="38" customWidth="1"/>
    <col min="515" max="515" width="4.375" style="38" customWidth="1"/>
    <col min="516" max="518" width="9.375" style="38" customWidth="1"/>
    <col min="519" max="761" width="9" style="38"/>
    <col min="762" max="762" width="1" style="38" customWidth="1"/>
    <col min="763" max="763" width="16.25" style="38" customWidth="1"/>
    <col min="764" max="764" width="18.625" style="38" customWidth="1"/>
    <col min="765" max="765" width="6" style="38" customWidth="1"/>
    <col min="766" max="766" width="15.875" style="38" customWidth="1"/>
    <col min="767" max="767" width="10.375" style="38" customWidth="1"/>
    <col min="768" max="768" width="32.125" style="38" customWidth="1"/>
    <col min="769" max="769" width="13.625" style="38" customWidth="1"/>
    <col min="770" max="770" width="7.125" style="38" customWidth="1"/>
    <col min="771" max="771" width="4.375" style="38" customWidth="1"/>
    <col min="772" max="774" width="9.375" style="38" customWidth="1"/>
    <col min="775" max="1017" width="9" style="38"/>
    <col min="1018" max="1018" width="1" style="38" customWidth="1"/>
    <col min="1019" max="1019" width="16.25" style="38" customWidth="1"/>
    <col min="1020" max="1020" width="18.625" style="38" customWidth="1"/>
    <col min="1021" max="1021" width="6" style="38" customWidth="1"/>
    <col min="1022" max="1022" width="15.875" style="38" customWidth="1"/>
    <col min="1023" max="1023" width="10.375" style="38" customWidth="1"/>
    <col min="1024" max="1024" width="32.125" style="38" customWidth="1"/>
    <col min="1025" max="1025" width="13.625" style="38" customWidth="1"/>
    <col min="1026" max="1026" width="7.125" style="38" customWidth="1"/>
    <col min="1027" max="1027" width="4.375" style="38" customWidth="1"/>
    <col min="1028" max="1030" width="9.375" style="38" customWidth="1"/>
    <col min="1031" max="1273" width="9" style="38"/>
    <col min="1274" max="1274" width="1" style="38" customWidth="1"/>
    <col min="1275" max="1275" width="16.25" style="38" customWidth="1"/>
    <col min="1276" max="1276" width="18.625" style="38" customWidth="1"/>
    <col min="1277" max="1277" width="6" style="38" customWidth="1"/>
    <col min="1278" max="1278" width="15.875" style="38" customWidth="1"/>
    <col min="1279" max="1279" width="10.375" style="38" customWidth="1"/>
    <col min="1280" max="1280" width="32.125" style="38" customWidth="1"/>
    <col min="1281" max="1281" width="13.625" style="38" customWidth="1"/>
    <col min="1282" max="1282" width="7.125" style="38" customWidth="1"/>
    <col min="1283" max="1283" width="4.375" style="38" customWidth="1"/>
    <col min="1284" max="1286" width="9.375" style="38" customWidth="1"/>
    <col min="1287" max="1529" width="9" style="38"/>
    <col min="1530" max="1530" width="1" style="38" customWidth="1"/>
    <col min="1531" max="1531" width="16.25" style="38" customWidth="1"/>
    <col min="1532" max="1532" width="18.625" style="38" customWidth="1"/>
    <col min="1533" max="1533" width="6" style="38" customWidth="1"/>
    <col min="1534" max="1534" width="15.875" style="38" customWidth="1"/>
    <col min="1535" max="1535" width="10.375" style="38" customWidth="1"/>
    <col min="1536" max="1536" width="32.125" style="38" customWidth="1"/>
    <col min="1537" max="1537" width="13.625" style="38" customWidth="1"/>
    <col min="1538" max="1538" width="7.125" style="38" customWidth="1"/>
    <col min="1539" max="1539" width="4.375" style="38" customWidth="1"/>
    <col min="1540" max="1542" width="9.375" style="38" customWidth="1"/>
    <col min="1543" max="1785" width="9" style="38"/>
    <col min="1786" max="1786" width="1" style="38" customWidth="1"/>
    <col min="1787" max="1787" width="16.25" style="38" customWidth="1"/>
    <col min="1788" max="1788" width="18.625" style="38" customWidth="1"/>
    <col min="1789" max="1789" width="6" style="38" customWidth="1"/>
    <col min="1790" max="1790" width="15.875" style="38" customWidth="1"/>
    <col min="1791" max="1791" width="10.375" style="38" customWidth="1"/>
    <col min="1792" max="1792" width="32.125" style="38" customWidth="1"/>
    <col min="1793" max="1793" width="13.625" style="38" customWidth="1"/>
    <col min="1794" max="1794" width="7.125" style="38" customWidth="1"/>
    <col min="1795" max="1795" width="4.375" style="38" customWidth="1"/>
    <col min="1796" max="1798" width="9.375" style="38" customWidth="1"/>
    <col min="1799" max="2041" width="9" style="38"/>
    <col min="2042" max="2042" width="1" style="38" customWidth="1"/>
    <col min="2043" max="2043" width="16.25" style="38" customWidth="1"/>
    <col min="2044" max="2044" width="18.625" style="38" customWidth="1"/>
    <col min="2045" max="2045" width="6" style="38" customWidth="1"/>
    <col min="2046" max="2046" width="15.875" style="38" customWidth="1"/>
    <col min="2047" max="2047" width="10.375" style="38" customWidth="1"/>
    <col min="2048" max="2048" width="32.125" style="38" customWidth="1"/>
    <col min="2049" max="2049" width="13.625" style="38" customWidth="1"/>
    <col min="2050" max="2050" width="7.125" style="38" customWidth="1"/>
    <col min="2051" max="2051" width="4.375" style="38" customWidth="1"/>
    <col min="2052" max="2054" width="9.375" style="38" customWidth="1"/>
    <col min="2055" max="2297" width="9" style="38"/>
    <col min="2298" max="2298" width="1" style="38" customWidth="1"/>
    <col min="2299" max="2299" width="16.25" style="38" customWidth="1"/>
    <col min="2300" max="2300" width="18.625" style="38" customWidth="1"/>
    <col min="2301" max="2301" width="6" style="38" customWidth="1"/>
    <col min="2302" max="2302" width="15.875" style="38" customWidth="1"/>
    <col min="2303" max="2303" width="10.375" style="38" customWidth="1"/>
    <col min="2304" max="2304" width="32.125" style="38" customWidth="1"/>
    <col min="2305" max="2305" width="13.625" style="38" customWidth="1"/>
    <col min="2306" max="2306" width="7.125" style="38" customWidth="1"/>
    <col min="2307" max="2307" width="4.375" style="38" customWidth="1"/>
    <col min="2308" max="2310" width="9.375" style="38" customWidth="1"/>
    <col min="2311" max="2553" width="9" style="38"/>
    <col min="2554" max="2554" width="1" style="38" customWidth="1"/>
    <col min="2555" max="2555" width="16.25" style="38" customWidth="1"/>
    <col min="2556" max="2556" width="18.625" style="38" customWidth="1"/>
    <col min="2557" max="2557" width="6" style="38" customWidth="1"/>
    <col min="2558" max="2558" width="15.875" style="38" customWidth="1"/>
    <col min="2559" max="2559" width="10.375" style="38" customWidth="1"/>
    <col min="2560" max="2560" width="32.125" style="38" customWidth="1"/>
    <col min="2561" max="2561" width="13.625" style="38" customWidth="1"/>
    <col min="2562" max="2562" width="7.125" style="38" customWidth="1"/>
    <col min="2563" max="2563" width="4.375" style="38" customWidth="1"/>
    <col min="2564" max="2566" width="9.375" style="38" customWidth="1"/>
    <col min="2567" max="2809" width="9" style="38"/>
    <col min="2810" max="2810" width="1" style="38" customWidth="1"/>
    <col min="2811" max="2811" width="16.25" style="38" customWidth="1"/>
    <col min="2812" max="2812" width="18.625" style="38" customWidth="1"/>
    <col min="2813" max="2813" width="6" style="38" customWidth="1"/>
    <col min="2814" max="2814" width="15.875" style="38" customWidth="1"/>
    <col min="2815" max="2815" width="10.375" style="38" customWidth="1"/>
    <col min="2816" max="2816" width="32.125" style="38" customWidth="1"/>
    <col min="2817" max="2817" width="13.625" style="38" customWidth="1"/>
    <col min="2818" max="2818" width="7.125" style="38" customWidth="1"/>
    <col min="2819" max="2819" width="4.375" style="38" customWidth="1"/>
    <col min="2820" max="2822" width="9.375" style="38" customWidth="1"/>
    <col min="2823" max="3065" width="9" style="38"/>
    <col min="3066" max="3066" width="1" style="38" customWidth="1"/>
    <col min="3067" max="3067" width="16.25" style="38" customWidth="1"/>
    <col min="3068" max="3068" width="18.625" style="38" customWidth="1"/>
    <col min="3069" max="3069" width="6" style="38" customWidth="1"/>
    <col min="3070" max="3070" width="15.875" style="38" customWidth="1"/>
    <col min="3071" max="3071" width="10.375" style="38" customWidth="1"/>
    <col min="3072" max="3072" width="32.125" style="38" customWidth="1"/>
    <col min="3073" max="3073" width="13.625" style="38" customWidth="1"/>
    <col min="3074" max="3074" width="7.125" style="38" customWidth="1"/>
    <col min="3075" max="3075" width="4.375" style="38" customWidth="1"/>
    <col min="3076" max="3078" width="9.375" style="38" customWidth="1"/>
    <col min="3079" max="3321" width="9" style="38"/>
    <col min="3322" max="3322" width="1" style="38" customWidth="1"/>
    <col min="3323" max="3323" width="16.25" style="38" customWidth="1"/>
    <col min="3324" max="3324" width="18.625" style="38" customWidth="1"/>
    <col min="3325" max="3325" width="6" style="38" customWidth="1"/>
    <col min="3326" max="3326" width="15.875" style="38" customWidth="1"/>
    <col min="3327" max="3327" width="10.375" style="38" customWidth="1"/>
    <col min="3328" max="3328" width="32.125" style="38" customWidth="1"/>
    <col min="3329" max="3329" width="13.625" style="38" customWidth="1"/>
    <col min="3330" max="3330" width="7.125" style="38" customWidth="1"/>
    <col min="3331" max="3331" width="4.375" style="38" customWidth="1"/>
    <col min="3332" max="3334" width="9.375" style="38" customWidth="1"/>
    <col min="3335" max="3577" width="9" style="38"/>
    <col min="3578" max="3578" width="1" style="38" customWidth="1"/>
    <col min="3579" max="3579" width="16.25" style="38" customWidth="1"/>
    <col min="3580" max="3580" width="18.625" style="38" customWidth="1"/>
    <col min="3581" max="3581" width="6" style="38" customWidth="1"/>
    <col min="3582" max="3582" width="15.875" style="38" customWidth="1"/>
    <col min="3583" max="3583" width="10.375" style="38" customWidth="1"/>
    <col min="3584" max="3584" width="32.125" style="38" customWidth="1"/>
    <col min="3585" max="3585" width="13.625" style="38" customWidth="1"/>
    <col min="3586" max="3586" width="7.125" style="38" customWidth="1"/>
    <col min="3587" max="3587" width="4.375" style="38" customWidth="1"/>
    <col min="3588" max="3590" width="9.375" style="38" customWidth="1"/>
    <col min="3591" max="3833" width="9" style="38"/>
    <col min="3834" max="3834" width="1" style="38" customWidth="1"/>
    <col min="3835" max="3835" width="16.25" style="38" customWidth="1"/>
    <col min="3836" max="3836" width="18.625" style="38" customWidth="1"/>
    <col min="3837" max="3837" width="6" style="38" customWidth="1"/>
    <col min="3838" max="3838" width="15.875" style="38" customWidth="1"/>
    <col min="3839" max="3839" width="10.375" style="38" customWidth="1"/>
    <col min="3840" max="3840" width="32.125" style="38" customWidth="1"/>
    <col min="3841" max="3841" width="13.625" style="38" customWidth="1"/>
    <col min="3842" max="3842" width="7.125" style="38" customWidth="1"/>
    <col min="3843" max="3843" width="4.375" style="38" customWidth="1"/>
    <col min="3844" max="3846" width="9.375" style="38" customWidth="1"/>
    <col min="3847" max="4089" width="9" style="38"/>
    <col min="4090" max="4090" width="1" style="38" customWidth="1"/>
    <col min="4091" max="4091" width="16.25" style="38" customWidth="1"/>
    <col min="4092" max="4092" width="18.625" style="38" customWidth="1"/>
    <col min="4093" max="4093" width="6" style="38" customWidth="1"/>
    <col min="4094" max="4094" width="15.875" style="38" customWidth="1"/>
    <col min="4095" max="4095" width="10.375" style="38" customWidth="1"/>
    <col min="4096" max="4096" width="32.125" style="38" customWidth="1"/>
    <col min="4097" max="4097" width="13.625" style="38" customWidth="1"/>
    <col min="4098" max="4098" width="7.125" style="38" customWidth="1"/>
    <col min="4099" max="4099" width="4.375" style="38" customWidth="1"/>
    <col min="4100" max="4102" width="9.375" style="38" customWidth="1"/>
    <col min="4103" max="4345" width="9" style="38"/>
    <col min="4346" max="4346" width="1" style="38" customWidth="1"/>
    <col min="4347" max="4347" width="16.25" style="38" customWidth="1"/>
    <col min="4348" max="4348" width="18.625" style="38" customWidth="1"/>
    <col min="4349" max="4349" width="6" style="38" customWidth="1"/>
    <col min="4350" max="4350" width="15.875" style="38" customWidth="1"/>
    <col min="4351" max="4351" width="10.375" style="38" customWidth="1"/>
    <col min="4352" max="4352" width="32.125" style="38" customWidth="1"/>
    <col min="4353" max="4353" width="13.625" style="38" customWidth="1"/>
    <col min="4354" max="4354" width="7.125" style="38" customWidth="1"/>
    <col min="4355" max="4355" width="4.375" style="38" customWidth="1"/>
    <col min="4356" max="4358" width="9.375" style="38" customWidth="1"/>
    <col min="4359" max="4601" width="9" style="38"/>
    <col min="4602" max="4602" width="1" style="38" customWidth="1"/>
    <col min="4603" max="4603" width="16.25" style="38" customWidth="1"/>
    <col min="4604" max="4604" width="18.625" style="38" customWidth="1"/>
    <col min="4605" max="4605" width="6" style="38" customWidth="1"/>
    <col min="4606" max="4606" width="15.875" style="38" customWidth="1"/>
    <col min="4607" max="4607" width="10.375" style="38" customWidth="1"/>
    <col min="4608" max="4608" width="32.125" style="38" customWidth="1"/>
    <col min="4609" max="4609" width="13.625" style="38" customWidth="1"/>
    <col min="4610" max="4610" width="7.125" style="38" customWidth="1"/>
    <col min="4611" max="4611" width="4.375" style="38" customWidth="1"/>
    <col min="4612" max="4614" width="9.375" style="38" customWidth="1"/>
    <col min="4615" max="4857" width="9" style="38"/>
    <col min="4858" max="4858" width="1" style="38" customWidth="1"/>
    <col min="4859" max="4859" width="16.25" style="38" customWidth="1"/>
    <col min="4860" max="4860" width="18.625" style="38" customWidth="1"/>
    <col min="4861" max="4861" width="6" style="38" customWidth="1"/>
    <col min="4862" max="4862" width="15.875" style="38" customWidth="1"/>
    <col min="4863" max="4863" width="10.375" style="38" customWidth="1"/>
    <col min="4864" max="4864" width="32.125" style="38" customWidth="1"/>
    <col min="4865" max="4865" width="13.625" style="38" customWidth="1"/>
    <col min="4866" max="4866" width="7.125" style="38" customWidth="1"/>
    <col min="4867" max="4867" width="4.375" style="38" customWidth="1"/>
    <col min="4868" max="4870" width="9.375" style="38" customWidth="1"/>
    <col min="4871" max="5113" width="9" style="38"/>
    <col min="5114" max="5114" width="1" style="38" customWidth="1"/>
    <col min="5115" max="5115" width="16.25" style="38" customWidth="1"/>
    <col min="5116" max="5116" width="18.625" style="38" customWidth="1"/>
    <col min="5117" max="5117" width="6" style="38" customWidth="1"/>
    <col min="5118" max="5118" width="15.875" style="38" customWidth="1"/>
    <col min="5119" max="5119" width="10.375" style="38" customWidth="1"/>
    <col min="5120" max="5120" width="32.125" style="38" customWidth="1"/>
    <col min="5121" max="5121" width="13.625" style="38" customWidth="1"/>
    <col min="5122" max="5122" width="7.125" style="38" customWidth="1"/>
    <col min="5123" max="5123" width="4.375" style="38" customWidth="1"/>
    <col min="5124" max="5126" width="9.375" style="38" customWidth="1"/>
    <col min="5127" max="5369" width="9" style="38"/>
    <col min="5370" max="5370" width="1" style="38" customWidth="1"/>
    <col min="5371" max="5371" width="16.25" style="38" customWidth="1"/>
    <col min="5372" max="5372" width="18.625" style="38" customWidth="1"/>
    <col min="5373" max="5373" width="6" style="38" customWidth="1"/>
    <col min="5374" max="5374" width="15.875" style="38" customWidth="1"/>
    <col min="5375" max="5375" width="10.375" style="38" customWidth="1"/>
    <col min="5376" max="5376" width="32.125" style="38" customWidth="1"/>
    <col min="5377" max="5377" width="13.625" style="38" customWidth="1"/>
    <col min="5378" max="5378" width="7.125" style="38" customWidth="1"/>
    <col min="5379" max="5379" width="4.375" style="38" customWidth="1"/>
    <col min="5380" max="5382" width="9.375" style="38" customWidth="1"/>
    <col min="5383" max="5625" width="9" style="38"/>
    <col min="5626" max="5626" width="1" style="38" customWidth="1"/>
    <col min="5627" max="5627" width="16.25" style="38" customWidth="1"/>
    <col min="5628" max="5628" width="18.625" style="38" customWidth="1"/>
    <col min="5629" max="5629" width="6" style="38" customWidth="1"/>
    <col min="5630" max="5630" width="15.875" style="38" customWidth="1"/>
    <col min="5631" max="5631" width="10.375" style="38" customWidth="1"/>
    <col min="5632" max="5632" width="32.125" style="38" customWidth="1"/>
    <col min="5633" max="5633" width="13.625" style="38" customWidth="1"/>
    <col min="5634" max="5634" width="7.125" style="38" customWidth="1"/>
    <col min="5635" max="5635" width="4.375" style="38" customWidth="1"/>
    <col min="5636" max="5638" width="9.375" style="38" customWidth="1"/>
    <col min="5639" max="5881" width="9" style="38"/>
    <col min="5882" max="5882" width="1" style="38" customWidth="1"/>
    <col min="5883" max="5883" width="16.25" style="38" customWidth="1"/>
    <col min="5884" max="5884" width="18.625" style="38" customWidth="1"/>
    <col min="5885" max="5885" width="6" style="38" customWidth="1"/>
    <col min="5886" max="5886" width="15.875" style="38" customWidth="1"/>
    <col min="5887" max="5887" width="10.375" style="38" customWidth="1"/>
    <col min="5888" max="5888" width="32.125" style="38" customWidth="1"/>
    <col min="5889" max="5889" width="13.625" style="38" customWidth="1"/>
    <col min="5890" max="5890" width="7.125" style="38" customWidth="1"/>
    <col min="5891" max="5891" width="4.375" style="38" customWidth="1"/>
    <col min="5892" max="5894" width="9.375" style="38" customWidth="1"/>
    <col min="5895" max="6137" width="9" style="38"/>
    <col min="6138" max="6138" width="1" style="38" customWidth="1"/>
    <col min="6139" max="6139" width="16.25" style="38" customWidth="1"/>
    <col min="6140" max="6140" width="18.625" style="38" customWidth="1"/>
    <col min="6141" max="6141" width="6" style="38" customWidth="1"/>
    <col min="6142" max="6142" width="15.875" style="38" customWidth="1"/>
    <col min="6143" max="6143" width="10.375" style="38" customWidth="1"/>
    <col min="6144" max="6144" width="32.125" style="38" customWidth="1"/>
    <col min="6145" max="6145" width="13.625" style="38" customWidth="1"/>
    <col min="6146" max="6146" width="7.125" style="38" customWidth="1"/>
    <col min="6147" max="6147" width="4.375" style="38" customWidth="1"/>
    <col min="6148" max="6150" width="9.375" style="38" customWidth="1"/>
    <col min="6151" max="6393" width="9" style="38"/>
    <col min="6394" max="6394" width="1" style="38" customWidth="1"/>
    <col min="6395" max="6395" width="16.25" style="38" customWidth="1"/>
    <col min="6396" max="6396" width="18.625" style="38" customWidth="1"/>
    <col min="6397" max="6397" width="6" style="38" customWidth="1"/>
    <col min="6398" max="6398" width="15.875" style="38" customWidth="1"/>
    <col min="6399" max="6399" width="10.375" style="38" customWidth="1"/>
    <col min="6400" max="6400" width="32.125" style="38" customWidth="1"/>
    <col min="6401" max="6401" width="13.625" style="38" customWidth="1"/>
    <col min="6402" max="6402" width="7.125" style="38" customWidth="1"/>
    <col min="6403" max="6403" width="4.375" style="38" customWidth="1"/>
    <col min="6404" max="6406" width="9.375" style="38" customWidth="1"/>
    <col min="6407" max="6649" width="9" style="38"/>
    <col min="6650" max="6650" width="1" style="38" customWidth="1"/>
    <col min="6651" max="6651" width="16.25" style="38" customWidth="1"/>
    <col min="6652" max="6652" width="18.625" style="38" customWidth="1"/>
    <col min="6653" max="6653" width="6" style="38" customWidth="1"/>
    <col min="6654" max="6654" width="15.875" style="38" customWidth="1"/>
    <col min="6655" max="6655" width="10.375" style="38" customWidth="1"/>
    <col min="6656" max="6656" width="32.125" style="38" customWidth="1"/>
    <col min="6657" max="6657" width="13.625" style="38" customWidth="1"/>
    <col min="6658" max="6658" width="7.125" style="38" customWidth="1"/>
    <col min="6659" max="6659" width="4.375" style="38" customWidth="1"/>
    <col min="6660" max="6662" width="9.375" style="38" customWidth="1"/>
    <col min="6663" max="6905" width="9" style="38"/>
    <col min="6906" max="6906" width="1" style="38" customWidth="1"/>
    <col min="6907" max="6907" width="16.25" style="38" customWidth="1"/>
    <col min="6908" max="6908" width="18.625" style="38" customWidth="1"/>
    <col min="6909" max="6909" width="6" style="38" customWidth="1"/>
    <col min="6910" max="6910" width="15.875" style="38" customWidth="1"/>
    <col min="6911" max="6911" width="10.375" style="38" customWidth="1"/>
    <col min="6912" max="6912" width="32.125" style="38" customWidth="1"/>
    <col min="6913" max="6913" width="13.625" style="38" customWidth="1"/>
    <col min="6914" max="6914" width="7.125" style="38" customWidth="1"/>
    <col min="6915" max="6915" width="4.375" style="38" customWidth="1"/>
    <col min="6916" max="6918" width="9.375" style="38" customWidth="1"/>
    <col min="6919" max="7161" width="9" style="38"/>
    <col min="7162" max="7162" width="1" style="38" customWidth="1"/>
    <col min="7163" max="7163" width="16.25" style="38" customWidth="1"/>
    <col min="7164" max="7164" width="18.625" style="38" customWidth="1"/>
    <col min="7165" max="7165" width="6" style="38" customWidth="1"/>
    <col min="7166" max="7166" width="15.875" style="38" customWidth="1"/>
    <col min="7167" max="7167" width="10.375" style="38" customWidth="1"/>
    <col min="7168" max="7168" width="32.125" style="38" customWidth="1"/>
    <col min="7169" max="7169" width="13.625" style="38" customWidth="1"/>
    <col min="7170" max="7170" width="7.125" style="38" customWidth="1"/>
    <col min="7171" max="7171" width="4.375" style="38" customWidth="1"/>
    <col min="7172" max="7174" width="9.375" style="38" customWidth="1"/>
    <col min="7175" max="7417" width="9" style="38"/>
    <col min="7418" max="7418" width="1" style="38" customWidth="1"/>
    <col min="7419" max="7419" width="16.25" style="38" customWidth="1"/>
    <col min="7420" max="7420" width="18.625" style="38" customWidth="1"/>
    <col min="7421" max="7421" width="6" style="38" customWidth="1"/>
    <col min="7422" max="7422" width="15.875" style="38" customWidth="1"/>
    <col min="7423" max="7423" width="10.375" style="38" customWidth="1"/>
    <col min="7424" max="7424" width="32.125" style="38" customWidth="1"/>
    <col min="7425" max="7425" width="13.625" style="38" customWidth="1"/>
    <col min="7426" max="7426" width="7.125" style="38" customWidth="1"/>
    <col min="7427" max="7427" width="4.375" style="38" customWidth="1"/>
    <col min="7428" max="7430" width="9.375" style="38" customWidth="1"/>
    <col min="7431" max="7673" width="9" style="38"/>
    <col min="7674" max="7674" width="1" style="38" customWidth="1"/>
    <col min="7675" max="7675" width="16.25" style="38" customWidth="1"/>
    <col min="7676" max="7676" width="18.625" style="38" customWidth="1"/>
    <col min="7677" max="7677" width="6" style="38" customWidth="1"/>
    <col min="7678" max="7678" width="15.875" style="38" customWidth="1"/>
    <col min="7679" max="7679" width="10.375" style="38" customWidth="1"/>
    <col min="7680" max="7680" width="32.125" style="38" customWidth="1"/>
    <col min="7681" max="7681" width="13.625" style="38" customWidth="1"/>
    <col min="7682" max="7682" width="7.125" style="38" customWidth="1"/>
    <col min="7683" max="7683" width="4.375" style="38" customWidth="1"/>
    <col min="7684" max="7686" width="9.375" style="38" customWidth="1"/>
    <col min="7687" max="7929" width="9" style="38"/>
    <col min="7930" max="7930" width="1" style="38" customWidth="1"/>
    <col min="7931" max="7931" width="16.25" style="38" customWidth="1"/>
    <col min="7932" max="7932" width="18.625" style="38" customWidth="1"/>
    <col min="7933" max="7933" width="6" style="38" customWidth="1"/>
    <col min="7934" max="7934" width="15.875" style="38" customWidth="1"/>
    <col min="7935" max="7935" width="10.375" style="38" customWidth="1"/>
    <col min="7936" max="7936" width="32.125" style="38" customWidth="1"/>
    <col min="7937" max="7937" width="13.625" style="38" customWidth="1"/>
    <col min="7938" max="7938" width="7.125" style="38" customWidth="1"/>
    <col min="7939" max="7939" width="4.375" style="38" customWidth="1"/>
    <col min="7940" max="7942" width="9.375" style="38" customWidth="1"/>
    <col min="7943" max="8185" width="9" style="38"/>
    <col min="8186" max="8186" width="1" style="38" customWidth="1"/>
    <col min="8187" max="8187" width="16.25" style="38" customWidth="1"/>
    <col min="8188" max="8188" width="18.625" style="38" customWidth="1"/>
    <col min="8189" max="8189" width="6" style="38" customWidth="1"/>
    <col min="8190" max="8190" width="15.875" style="38" customWidth="1"/>
    <col min="8191" max="8191" width="10.375" style="38" customWidth="1"/>
    <col min="8192" max="8192" width="32.125" style="38" customWidth="1"/>
    <col min="8193" max="8193" width="13.625" style="38" customWidth="1"/>
    <col min="8194" max="8194" width="7.125" style="38" customWidth="1"/>
    <col min="8195" max="8195" width="4.375" style="38" customWidth="1"/>
    <col min="8196" max="8198" width="9.375" style="38" customWidth="1"/>
    <col min="8199" max="8441" width="9" style="38"/>
    <col min="8442" max="8442" width="1" style="38" customWidth="1"/>
    <col min="8443" max="8443" width="16.25" style="38" customWidth="1"/>
    <col min="8444" max="8444" width="18.625" style="38" customWidth="1"/>
    <col min="8445" max="8445" width="6" style="38" customWidth="1"/>
    <col min="8446" max="8446" width="15.875" style="38" customWidth="1"/>
    <col min="8447" max="8447" width="10.375" style="38" customWidth="1"/>
    <col min="8448" max="8448" width="32.125" style="38" customWidth="1"/>
    <col min="8449" max="8449" width="13.625" style="38" customWidth="1"/>
    <col min="8450" max="8450" width="7.125" style="38" customWidth="1"/>
    <col min="8451" max="8451" width="4.375" style="38" customWidth="1"/>
    <col min="8452" max="8454" width="9.375" style="38" customWidth="1"/>
    <col min="8455" max="8697" width="9" style="38"/>
    <col min="8698" max="8698" width="1" style="38" customWidth="1"/>
    <col min="8699" max="8699" width="16.25" style="38" customWidth="1"/>
    <col min="8700" max="8700" width="18.625" style="38" customWidth="1"/>
    <col min="8701" max="8701" width="6" style="38" customWidth="1"/>
    <col min="8702" max="8702" width="15.875" style="38" customWidth="1"/>
    <col min="8703" max="8703" width="10.375" style="38" customWidth="1"/>
    <col min="8704" max="8704" width="32.125" style="38" customWidth="1"/>
    <col min="8705" max="8705" width="13.625" style="38" customWidth="1"/>
    <col min="8706" max="8706" width="7.125" style="38" customWidth="1"/>
    <col min="8707" max="8707" width="4.375" style="38" customWidth="1"/>
    <col min="8708" max="8710" width="9.375" style="38" customWidth="1"/>
    <col min="8711" max="8953" width="9" style="38"/>
    <col min="8954" max="8954" width="1" style="38" customWidth="1"/>
    <col min="8955" max="8955" width="16.25" style="38" customWidth="1"/>
    <col min="8956" max="8956" width="18.625" style="38" customWidth="1"/>
    <col min="8957" max="8957" width="6" style="38" customWidth="1"/>
    <col min="8958" max="8958" width="15.875" style="38" customWidth="1"/>
    <col min="8959" max="8959" width="10.375" style="38" customWidth="1"/>
    <col min="8960" max="8960" width="32.125" style="38" customWidth="1"/>
    <col min="8961" max="8961" width="13.625" style="38" customWidth="1"/>
    <col min="8962" max="8962" width="7.125" style="38" customWidth="1"/>
    <col min="8963" max="8963" width="4.375" style="38" customWidth="1"/>
    <col min="8964" max="8966" width="9.375" style="38" customWidth="1"/>
    <col min="8967" max="9209" width="9" style="38"/>
    <col min="9210" max="9210" width="1" style="38" customWidth="1"/>
    <col min="9211" max="9211" width="16.25" style="38" customWidth="1"/>
    <col min="9212" max="9212" width="18.625" style="38" customWidth="1"/>
    <col min="9213" max="9213" width="6" style="38" customWidth="1"/>
    <col min="9214" max="9214" width="15.875" style="38" customWidth="1"/>
    <col min="9215" max="9215" width="10.375" style="38" customWidth="1"/>
    <col min="9216" max="9216" width="32.125" style="38" customWidth="1"/>
    <col min="9217" max="9217" width="13.625" style="38" customWidth="1"/>
    <col min="9218" max="9218" width="7.125" style="38" customWidth="1"/>
    <col min="9219" max="9219" width="4.375" style="38" customWidth="1"/>
    <col min="9220" max="9222" width="9.375" style="38" customWidth="1"/>
    <col min="9223" max="9465" width="9" style="38"/>
    <col min="9466" max="9466" width="1" style="38" customWidth="1"/>
    <col min="9467" max="9467" width="16.25" style="38" customWidth="1"/>
    <col min="9468" max="9468" width="18.625" style="38" customWidth="1"/>
    <col min="9469" max="9469" width="6" style="38" customWidth="1"/>
    <col min="9470" max="9470" width="15.875" style="38" customWidth="1"/>
    <col min="9471" max="9471" width="10.375" style="38" customWidth="1"/>
    <col min="9472" max="9472" width="32.125" style="38" customWidth="1"/>
    <col min="9473" max="9473" width="13.625" style="38" customWidth="1"/>
    <col min="9474" max="9474" width="7.125" style="38" customWidth="1"/>
    <col min="9475" max="9475" width="4.375" style="38" customWidth="1"/>
    <col min="9476" max="9478" width="9.375" style="38" customWidth="1"/>
    <col min="9479" max="9721" width="9" style="38"/>
    <col min="9722" max="9722" width="1" style="38" customWidth="1"/>
    <col min="9723" max="9723" width="16.25" style="38" customWidth="1"/>
    <col min="9724" max="9724" width="18.625" style="38" customWidth="1"/>
    <col min="9725" max="9725" width="6" style="38" customWidth="1"/>
    <col min="9726" max="9726" width="15.875" style="38" customWidth="1"/>
    <col min="9727" max="9727" width="10.375" style="38" customWidth="1"/>
    <col min="9728" max="9728" width="32.125" style="38" customWidth="1"/>
    <col min="9729" max="9729" width="13.625" style="38" customWidth="1"/>
    <col min="9730" max="9730" width="7.125" style="38" customWidth="1"/>
    <col min="9731" max="9731" width="4.375" style="38" customWidth="1"/>
    <col min="9732" max="9734" width="9.375" style="38" customWidth="1"/>
    <col min="9735" max="9977" width="9" style="38"/>
    <col min="9978" max="9978" width="1" style="38" customWidth="1"/>
    <col min="9979" max="9979" width="16.25" style="38" customWidth="1"/>
    <col min="9980" max="9980" width="18.625" style="38" customWidth="1"/>
    <col min="9981" max="9981" width="6" style="38" customWidth="1"/>
    <col min="9982" max="9982" width="15.875" style="38" customWidth="1"/>
    <col min="9983" max="9983" width="10.375" style="38" customWidth="1"/>
    <col min="9984" max="9984" width="32.125" style="38" customWidth="1"/>
    <col min="9985" max="9985" width="13.625" style="38" customWidth="1"/>
    <col min="9986" max="9986" width="7.125" style="38" customWidth="1"/>
    <col min="9987" max="9987" width="4.375" style="38" customWidth="1"/>
    <col min="9988" max="9990" width="9.375" style="38" customWidth="1"/>
    <col min="9991" max="10233" width="9" style="38"/>
    <col min="10234" max="10234" width="1" style="38" customWidth="1"/>
    <col min="10235" max="10235" width="16.25" style="38" customWidth="1"/>
    <col min="10236" max="10236" width="18.625" style="38" customWidth="1"/>
    <col min="10237" max="10237" width="6" style="38" customWidth="1"/>
    <col min="10238" max="10238" width="15.875" style="38" customWidth="1"/>
    <col min="10239" max="10239" width="10.375" style="38" customWidth="1"/>
    <col min="10240" max="10240" width="32.125" style="38" customWidth="1"/>
    <col min="10241" max="10241" width="13.625" style="38" customWidth="1"/>
    <col min="10242" max="10242" width="7.125" style="38" customWidth="1"/>
    <col min="10243" max="10243" width="4.375" style="38" customWidth="1"/>
    <col min="10244" max="10246" width="9.375" style="38" customWidth="1"/>
    <col min="10247" max="10489" width="9" style="38"/>
    <col min="10490" max="10490" width="1" style="38" customWidth="1"/>
    <col min="10491" max="10491" width="16.25" style="38" customWidth="1"/>
    <col min="10492" max="10492" width="18.625" style="38" customWidth="1"/>
    <col min="10493" max="10493" width="6" style="38" customWidth="1"/>
    <col min="10494" max="10494" width="15.875" style="38" customWidth="1"/>
    <col min="10495" max="10495" width="10.375" style="38" customWidth="1"/>
    <col min="10496" max="10496" width="32.125" style="38" customWidth="1"/>
    <col min="10497" max="10497" width="13.625" style="38" customWidth="1"/>
    <col min="10498" max="10498" width="7.125" style="38" customWidth="1"/>
    <col min="10499" max="10499" width="4.375" style="38" customWidth="1"/>
    <col min="10500" max="10502" width="9.375" style="38" customWidth="1"/>
    <col min="10503" max="10745" width="9" style="38"/>
    <col min="10746" max="10746" width="1" style="38" customWidth="1"/>
    <col min="10747" max="10747" width="16.25" style="38" customWidth="1"/>
    <col min="10748" max="10748" width="18.625" style="38" customWidth="1"/>
    <col min="10749" max="10749" width="6" style="38" customWidth="1"/>
    <col min="10750" max="10750" width="15.875" style="38" customWidth="1"/>
    <col min="10751" max="10751" width="10.375" style="38" customWidth="1"/>
    <col min="10752" max="10752" width="32.125" style="38" customWidth="1"/>
    <col min="10753" max="10753" width="13.625" style="38" customWidth="1"/>
    <col min="10754" max="10754" width="7.125" style="38" customWidth="1"/>
    <col min="10755" max="10755" width="4.375" style="38" customWidth="1"/>
    <col min="10756" max="10758" width="9.375" style="38" customWidth="1"/>
    <col min="10759" max="11001" width="9" style="38"/>
    <col min="11002" max="11002" width="1" style="38" customWidth="1"/>
    <col min="11003" max="11003" width="16.25" style="38" customWidth="1"/>
    <col min="11004" max="11004" width="18.625" style="38" customWidth="1"/>
    <col min="11005" max="11005" width="6" style="38" customWidth="1"/>
    <col min="11006" max="11006" width="15.875" style="38" customWidth="1"/>
    <col min="11007" max="11007" width="10.375" style="38" customWidth="1"/>
    <col min="11008" max="11008" width="32.125" style="38" customWidth="1"/>
    <col min="11009" max="11009" width="13.625" style="38" customWidth="1"/>
    <col min="11010" max="11010" width="7.125" style="38" customWidth="1"/>
    <col min="11011" max="11011" width="4.375" style="38" customWidth="1"/>
    <col min="11012" max="11014" width="9.375" style="38" customWidth="1"/>
    <col min="11015" max="11257" width="9" style="38"/>
    <col min="11258" max="11258" width="1" style="38" customWidth="1"/>
    <col min="11259" max="11259" width="16.25" style="38" customWidth="1"/>
    <col min="11260" max="11260" width="18.625" style="38" customWidth="1"/>
    <col min="11261" max="11261" width="6" style="38" customWidth="1"/>
    <col min="11262" max="11262" width="15.875" style="38" customWidth="1"/>
    <col min="11263" max="11263" width="10.375" style="38" customWidth="1"/>
    <col min="11264" max="11264" width="32.125" style="38" customWidth="1"/>
    <col min="11265" max="11265" width="13.625" style="38" customWidth="1"/>
    <col min="11266" max="11266" width="7.125" style="38" customWidth="1"/>
    <col min="11267" max="11267" width="4.375" style="38" customWidth="1"/>
    <col min="11268" max="11270" width="9.375" style="38" customWidth="1"/>
    <col min="11271" max="11513" width="9" style="38"/>
    <col min="11514" max="11514" width="1" style="38" customWidth="1"/>
    <col min="11515" max="11515" width="16.25" style="38" customWidth="1"/>
    <col min="11516" max="11516" width="18.625" style="38" customWidth="1"/>
    <col min="11517" max="11517" width="6" style="38" customWidth="1"/>
    <col min="11518" max="11518" width="15.875" style="38" customWidth="1"/>
    <col min="11519" max="11519" width="10.375" style="38" customWidth="1"/>
    <col min="11520" max="11520" width="32.125" style="38" customWidth="1"/>
    <col min="11521" max="11521" width="13.625" style="38" customWidth="1"/>
    <col min="11522" max="11522" width="7.125" style="38" customWidth="1"/>
    <col min="11523" max="11523" width="4.375" style="38" customWidth="1"/>
    <col min="11524" max="11526" width="9.375" style="38" customWidth="1"/>
    <col min="11527" max="11769" width="9" style="38"/>
    <col min="11770" max="11770" width="1" style="38" customWidth="1"/>
    <col min="11771" max="11771" width="16.25" style="38" customWidth="1"/>
    <col min="11772" max="11772" width="18.625" style="38" customWidth="1"/>
    <col min="11773" max="11773" width="6" style="38" customWidth="1"/>
    <col min="11774" max="11774" width="15.875" style="38" customWidth="1"/>
    <col min="11775" max="11775" width="10.375" style="38" customWidth="1"/>
    <col min="11776" max="11776" width="32.125" style="38" customWidth="1"/>
    <col min="11777" max="11777" width="13.625" style="38" customWidth="1"/>
    <col min="11778" max="11778" width="7.125" style="38" customWidth="1"/>
    <col min="11779" max="11779" width="4.375" style="38" customWidth="1"/>
    <col min="11780" max="11782" width="9.375" style="38" customWidth="1"/>
    <col min="11783" max="12025" width="9" style="38"/>
    <col min="12026" max="12026" width="1" style="38" customWidth="1"/>
    <col min="12027" max="12027" width="16.25" style="38" customWidth="1"/>
    <col min="12028" max="12028" width="18.625" style="38" customWidth="1"/>
    <col min="12029" max="12029" width="6" style="38" customWidth="1"/>
    <col min="12030" max="12030" width="15.875" style="38" customWidth="1"/>
    <col min="12031" max="12031" width="10.375" style="38" customWidth="1"/>
    <col min="12032" max="12032" width="32.125" style="38" customWidth="1"/>
    <col min="12033" max="12033" width="13.625" style="38" customWidth="1"/>
    <col min="12034" max="12034" width="7.125" style="38" customWidth="1"/>
    <col min="12035" max="12035" width="4.375" style="38" customWidth="1"/>
    <col min="12036" max="12038" width="9.375" style="38" customWidth="1"/>
    <col min="12039" max="12281" width="9" style="38"/>
    <col min="12282" max="12282" width="1" style="38" customWidth="1"/>
    <col min="12283" max="12283" width="16.25" style="38" customWidth="1"/>
    <col min="12284" max="12284" width="18.625" style="38" customWidth="1"/>
    <col min="12285" max="12285" width="6" style="38" customWidth="1"/>
    <col min="12286" max="12286" width="15.875" style="38" customWidth="1"/>
    <col min="12287" max="12287" width="10.375" style="38" customWidth="1"/>
    <col min="12288" max="12288" width="32.125" style="38" customWidth="1"/>
    <col min="12289" max="12289" width="13.625" style="38" customWidth="1"/>
    <col min="12290" max="12290" width="7.125" style="38" customWidth="1"/>
    <col min="12291" max="12291" width="4.375" style="38" customWidth="1"/>
    <col min="12292" max="12294" width="9.375" style="38" customWidth="1"/>
    <col min="12295" max="12537" width="9" style="38"/>
    <col min="12538" max="12538" width="1" style="38" customWidth="1"/>
    <col min="12539" max="12539" width="16.25" style="38" customWidth="1"/>
    <col min="12540" max="12540" width="18.625" style="38" customWidth="1"/>
    <col min="12541" max="12541" width="6" style="38" customWidth="1"/>
    <col min="12542" max="12542" width="15.875" style="38" customWidth="1"/>
    <col min="12543" max="12543" width="10.375" style="38" customWidth="1"/>
    <col min="12544" max="12544" width="32.125" style="38" customWidth="1"/>
    <col min="12545" max="12545" width="13.625" style="38" customWidth="1"/>
    <col min="12546" max="12546" width="7.125" style="38" customWidth="1"/>
    <col min="12547" max="12547" width="4.375" style="38" customWidth="1"/>
    <col min="12548" max="12550" width="9.375" style="38" customWidth="1"/>
    <col min="12551" max="12793" width="9" style="38"/>
    <col min="12794" max="12794" width="1" style="38" customWidth="1"/>
    <col min="12795" max="12795" width="16.25" style="38" customWidth="1"/>
    <col min="12796" max="12796" width="18.625" style="38" customWidth="1"/>
    <col min="12797" max="12797" width="6" style="38" customWidth="1"/>
    <col min="12798" max="12798" width="15.875" style="38" customWidth="1"/>
    <col min="12799" max="12799" width="10.375" style="38" customWidth="1"/>
    <col min="12800" max="12800" width="32.125" style="38" customWidth="1"/>
    <col min="12801" max="12801" width="13.625" style="38" customWidth="1"/>
    <col min="12802" max="12802" width="7.125" style="38" customWidth="1"/>
    <col min="12803" max="12803" width="4.375" style="38" customWidth="1"/>
    <col min="12804" max="12806" width="9.375" style="38" customWidth="1"/>
    <col min="12807" max="13049" width="9" style="38"/>
    <col min="13050" max="13050" width="1" style="38" customWidth="1"/>
    <col min="13051" max="13051" width="16.25" style="38" customWidth="1"/>
    <col min="13052" max="13052" width="18.625" style="38" customWidth="1"/>
    <col min="13053" max="13053" width="6" style="38" customWidth="1"/>
    <col min="13054" max="13054" width="15.875" style="38" customWidth="1"/>
    <col min="13055" max="13055" width="10.375" style="38" customWidth="1"/>
    <col min="13056" max="13056" width="32.125" style="38" customWidth="1"/>
    <col min="13057" max="13057" width="13.625" style="38" customWidth="1"/>
    <col min="13058" max="13058" width="7.125" style="38" customWidth="1"/>
    <col min="13059" max="13059" width="4.375" style="38" customWidth="1"/>
    <col min="13060" max="13062" width="9.375" style="38" customWidth="1"/>
    <col min="13063" max="13305" width="9" style="38"/>
    <col min="13306" max="13306" width="1" style="38" customWidth="1"/>
    <col min="13307" max="13307" width="16.25" style="38" customWidth="1"/>
    <col min="13308" max="13308" width="18.625" style="38" customWidth="1"/>
    <col min="13309" max="13309" width="6" style="38" customWidth="1"/>
    <col min="13310" max="13310" width="15.875" style="38" customWidth="1"/>
    <col min="13311" max="13311" width="10.375" style="38" customWidth="1"/>
    <col min="13312" max="13312" width="32.125" style="38" customWidth="1"/>
    <col min="13313" max="13313" width="13.625" style="38" customWidth="1"/>
    <col min="13314" max="13314" width="7.125" style="38" customWidth="1"/>
    <col min="13315" max="13315" width="4.375" style="38" customWidth="1"/>
    <col min="13316" max="13318" width="9.375" style="38" customWidth="1"/>
    <col min="13319" max="13561" width="9" style="38"/>
    <col min="13562" max="13562" width="1" style="38" customWidth="1"/>
    <col min="13563" max="13563" width="16.25" style="38" customWidth="1"/>
    <col min="13564" max="13564" width="18.625" style="38" customWidth="1"/>
    <col min="13565" max="13565" width="6" style="38" customWidth="1"/>
    <col min="13566" max="13566" width="15.875" style="38" customWidth="1"/>
    <col min="13567" max="13567" width="10.375" style="38" customWidth="1"/>
    <col min="13568" max="13568" width="32.125" style="38" customWidth="1"/>
    <col min="13569" max="13569" width="13.625" style="38" customWidth="1"/>
    <col min="13570" max="13570" width="7.125" style="38" customWidth="1"/>
    <col min="13571" max="13571" width="4.375" style="38" customWidth="1"/>
    <col min="13572" max="13574" width="9.375" style="38" customWidth="1"/>
    <col min="13575" max="13817" width="9" style="38"/>
    <col min="13818" max="13818" width="1" style="38" customWidth="1"/>
    <col min="13819" max="13819" width="16.25" style="38" customWidth="1"/>
    <col min="13820" max="13820" width="18.625" style="38" customWidth="1"/>
    <col min="13821" max="13821" width="6" style="38" customWidth="1"/>
    <col min="13822" max="13822" width="15.875" style="38" customWidth="1"/>
    <col min="13823" max="13823" width="10.375" style="38" customWidth="1"/>
    <col min="13824" max="13824" width="32.125" style="38" customWidth="1"/>
    <col min="13825" max="13825" width="13.625" style="38" customWidth="1"/>
    <col min="13826" max="13826" width="7.125" style="38" customWidth="1"/>
    <col min="13827" max="13827" width="4.375" style="38" customWidth="1"/>
    <col min="13828" max="13830" width="9.375" style="38" customWidth="1"/>
    <col min="13831" max="14073" width="9" style="38"/>
    <col min="14074" max="14074" width="1" style="38" customWidth="1"/>
    <col min="14075" max="14075" width="16.25" style="38" customWidth="1"/>
    <col min="14076" max="14076" width="18.625" style="38" customWidth="1"/>
    <col min="14077" max="14077" width="6" style="38" customWidth="1"/>
    <col min="14078" max="14078" width="15.875" style="38" customWidth="1"/>
    <col min="14079" max="14079" width="10.375" style="38" customWidth="1"/>
    <col min="14080" max="14080" width="32.125" style="38" customWidth="1"/>
    <col min="14081" max="14081" width="13.625" style="38" customWidth="1"/>
    <col min="14082" max="14082" width="7.125" style="38" customWidth="1"/>
    <col min="14083" max="14083" width="4.375" style="38" customWidth="1"/>
    <col min="14084" max="14086" width="9.375" style="38" customWidth="1"/>
    <col min="14087" max="14329" width="9" style="38"/>
    <col min="14330" max="14330" width="1" style="38" customWidth="1"/>
    <col min="14331" max="14331" width="16.25" style="38" customWidth="1"/>
    <col min="14332" max="14332" width="18.625" style="38" customWidth="1"/>
    <col min="14333" max="14333" width="6" style="38" customWidth="1"/>
    <col min="14334" max="14334" width="15.875" style="38" customWidth="1"/>
    <col min="14335" max="14335" width="10.375" style="38" customWidth="1"/>
    <col min="14336" max="14336" width="32.125" style="38" customWidth="1"/>
    <col min="14337" max="14337" width="13.625" style="38" customWidth="1"/>
    <col min="14338" max="14338" width="7.125" style="38" customWidth="1"/>
    <col min="14339" max="14339" width="4.375" style="38" customWidth="1"/>
    <col min="14340" max="14342" width="9.375" style="38" customWidth="1"/>
    <col min="14343" max="14585" width="9" style="38"/>
    <col min="14586" max="14586" width="1" style="38" customWidth="1"/>
    <col min="14587" max="14587" width="16.25" style="38" customWidth="1"/>
    <col min="14588" max="14588" width="18.625" style="38" customWidth="1"/>
    <col min="14589" max="14589" width="6" style="38" customWidth="1"/>
    <col min="14590" max="14590" width="15.875" style="38" customWidth="1"/>
    <col min="14591" max="14591" width="10.375" style="38" customWidth="1"/>
    <col min="14592" max="14592" width="32.125" style="38" customWidth="1"/>
    <col min="14593" max="14593" width="13.625" style="38" customWidth="1"/>
    <col min="14594" max="14594" width="7.125" style="38" customWidth="1"/>
    <col min="14595" max="14595" width="4.375" style="38" customWidth="1"/>
    <col min="14596" max="14598" width="9.375" style="38" customWidth="1"/>
    <col min="14599" max="14841" width="9" style="38"/>
    <col min="14842" max="14842" width="1" style="38" customWidth="1"/>
    <col min="14843" max="14843" width="16.25" style="38" customWidth="1"/>
    <col min="14844" max="14844" width="18.625" style="38" customWidth="1"/>
    <col min="14845" max="14845" width="6" style="38" customWidth="1"/>
    <col min="14846" max="14846" width="15.875" style="38" customWidth="1"/>
    <col min="14847" max="14847" width="10.375" style="38" customWidth="1"/>
    <col min="14848" max="14848" width="32.125" style="38" customWidth="1"/>
    <col min="14849" max="14849" width="13.625" style="38" customWidth="1"/>
    <col min="14850" max="14850" width="7.125" style="38" customWidth="1"/>
    <col min="14851" max="14851" width="4.375" style="38" customWidth="1"/>
    <col min="14852" max="14854" width="9.375" style="38" customWidth="1"/>
    <col min="14855" max="15097" width="9" style="38"/>
    <col min="15098" max="15098" width="1" style="38" customWidth="1"/>
    <col min="15099" max="15099" width="16.25" style="38" customWidth="1"/>
    <col min="15100" max="15100" width="18.625" style="38" customWidth="1"/>
    <col min="15101" max="15101" width="6" style="38" customWidth="1"/>
    <col min="15102" max="15102" width="15.875" style="38" customWidth="1"/>
    <col min="15103" max="15103" width="10.375" style="38" customWidth="1"/>
    <col min="15104" max="15104" width="32.125" style="38" customWidth="1"/>
    <col min="15105" max="15105" width="13.625" style="38" customWidth="1"/>
    <col min="15106" max="15106" width="7.125" style="38" customWidth="1"/>
    <col min="15107" max="15107" width="4.375" style="38" customWidth="1"/>
    <col min="15108" max="15110" width="9.375" style="38" customWidth="1"/>
    <col min="15111" max="15353" width="9" style="38"/>
    <col min="15354" max="15354" width="1" style="38" customWidth="1"/>
    <col min="15355" max="15355" width="16.25" style="38" customWidth="1"/>
    <col min="15356" max="15356" width="18.625" style="38" customWidth="1"/>
    <col min="15357" max="15357" width="6" style="38" customWidth="1"/>
    <col min="15358" max="15358" width="15.875" style="38" customWidth="1"/>
    <col min="15359" max="15359" width="10.375" style="38" customWidth="1"/>
    <col min="15360" max="15360" width="32.125" style="38" customWidth="1"/>
    <col min="15361" max="15361" width="13.625" style="38" customWidth="1"/>
    <col min="15362" max="15362" width="7.125" style="38" customWidth="1"/>
    <col min="15363" max="15363" width="4.375" style="38" customWidth="1"/>
    <col min="15364" max="15366" width="9.375" style="38" customWidth="1"/>
    <col min="15367" max="15609" width="9" style="38"/>
    <col min="15610" max="15610" width="1" style="38" customWidth="1"/>
    <col min="15611" max="15611" width="16.25" style="38" customWidth="1"/>
    <col min="15612" max="15612" width="18.625" style="38" customWidth="1"/>
    <col min="15613" max="15613" width="6" style="38" customWidth="1"/>
    <col min="15614" max="15614" width="15.875" style="38" customWidth="1"/>
    <col min="15615" max="15615" width="10.375" style="38" customWidth="1"/>
    <col min="15616" max="15616" width="32.125" style="38" customWidth="1"/>
    <col min="15617" max="15617" width="13.625" style="38" customWidth="1"/>
    <col min="15618" max="15618" width="7.125" style="38" customWidth="1"/>
    <col min="15619" max="15619" width="4.375" style="38" customWidth="1"/>
    <col min="15620" max="15622" width="9.375" style="38" customWidth="1"/>
    <col min="15623" max="15865" width="9" style="38"/>
    <col min="15866" max="15866" width="1" style="38" customWidth="1"/>
    <col min="15867" max="15867" width="16.25" style="38" customWidth="1"/>
    <col min="15868" max="15868" width="18.625" style="38" customWidth="1"/>
    <col min="15869" max="15869" width="6" style="38" customWidth="1"/>
    <col min="15870" max="15870" width="15.875" style="38" customWidth="1"/>
    <col min="15871" max="15871" width="10.375" style="38" customWidth="1"/>
    <col min="15872" max="15872" width="32.125" style="38" customWidth="1"/>
    <col min="15873" max="15873" width="13.625" style="38" customWidth="1"/>
    <col min="15874" max="15874" width="7.125" style="38" customWidth="1"/>
    <col min="15875" max="15875" width="4.375" style="38" customWidth="1"/>
    <col min="15876" max="15878" width="9.375" style="38" customWidth="1"/>
    <col min="15879" max="16121" width="9" style="38"/>
    <col min="16122" max="16122" width="1" style="38" customWidth="1"/>
    <col min="16123" max="16123" width="16.25" style="38" customWidth="1"/>
    <col min="16124" max="16124" width="18.625" style="38" customWidth="1"/>
    <col min="16125" max="16125" width="6" style="38" customWidth="1"/>
    <col min="16126" max="16126" width="15.875" style="38" customWidth="1"/>
    <col min="16127" max="16127" width="10.375" style="38" customWidth="1"/>
    <col min="16128" max="16128" width="32.125" style="38" customWidth="1"/>
    <col min="16129" max="16129" width="13.625" style="38" customWidth="1"/>
    <col min="16130" max="16130" width="7.125" style="38" customWidth="1"/>
    <col min="16131" max="16131" width="4.375" style="38" customWidth="1"/>
    <col min="16132" max="16134" width="9.375" style="38" customWidth="1"/>
    <col min="16135" max="16384" width="9" style="38"/>
  </cols>
  <sheetData>
    <row r="1" spans="2:12" ht="75" customHeight="1" x14ac:dyDescent="0.25">
      <c r="F1" s="353" t="s">
        <v>194</v>
      </c>
      <c r="J1" s="354" t="s">
        <v>193</v>
      </c>
    </row>
    <row r="2" spans="2:12" ht="56.25" customHeight="1" x14ac:dyDescent="0.25">
      <c r="C2" s="42" t="s">
        <v>7</v>
      </c>
      <c r="D2" s="411" t="s">
        <v>80</v>
      </c>
      <c r="E2" s="411"/>
      <c r="G2" s="54"/>
    </row>
    <row r="3" spans="2:12" ht="26.25" customHeight="1" x14ac:dyDescent="0.2">
      <c r="C3" s="43" t="s">
        <v>15</v>
      </c>
      <c r="D3" s="412" t="s">
        <v>183</v>
      </c>
      <c r="E3" s="412"/>
      <c r="F3" s="412"/>
      <c r="G3" s="412"/>
      <c r="H3" s="412"/>
    </row>
    <row r="4" spans="2:12" ht="21" customHeight="1" x14ac:dyDescent="0.2">
      <c r="B4" s="34"/>
      <c r="D4" s="412"/>
      <c r="E4" s="412"/>
      <c r="F4" s="412"/>
      <c r="G4" s="412"/>
      <c r="H4" s="412"/>
    </row>
    <row r="5" spans="2:12" ht="11.25" customHeight="1" x14ac:dyDescent="0.25">
      <c r="B5" s="413"/>
      <c r="C5" s="413"/>
      <c r="D5" s="413"/>
      <c r="E5" s="413"/>
      <c r="G5" s="56">
        <v>0.4</v>
      </c>
    </row>
    <row r="6" spans="2:12" ht="39" customHeight="1" x14ac:dyDescent="0.25">
      <c r="C6" s="82" t="s">
        <v>135</v>
      </c>
      <c r="D6" s="83" t="s">
        <v>136</v>
      </c>
      <c r="E6" s="84" t="s">
        <v>65</v>
      </c>
      <c r="F6" s="84" t="s">
        <v>47</v>
      </c>
      <c r="G6" s="85" t="s">
        <v>138</v>
      </c>
      <c r="H6" s="86" t="s">
        <v>181</v>
      </c>
      <c r="I6" s="86" t="s">
        <v>172</v>
      </c>
      <c r="J6" s="86" t="s">
        <v>139</v>
      </c>
      <c r="K6" s="95" t="s">
        <v>39</v>
      </c>
    </row>
    <row r="7" spans="2:12" ht="33.75" customHeight="1" x14ac:dyDescent="0.2">
      <c r="B7" s="414" t="s">
        <v>20</v>
      </c>
      <c r="C7" s="280">
        <v>43352</v>
      </c>
      <c r="D7" s="281">
        <v>43173</v>
      </c>
      <c r="E7" s="88" t="s">
        <v>115</v>
      </c>
      <c r="F7" s="88" t="s">
        <v>144</v>
      </c>
      <c r="G7" s="89">
        <v>357000</v>
      </c>
      <c r="H7" s="89">
        <v>6283.2</v>
      </c>
      <c r="I7" s="299"/>
      <c r="J7" s="89">
        <v>363283.20000000001</v>
      </c>
      <c r="K7" s="90">
        <v>1045</v>
      </c>
      <c r="L7" s="57"/>
    </row>
    <row r="8" spans="2:12" ht="36" customHeight="1" x14ac:dyDescent="0.2">
      <c r="B8" s="414"/>
      <c r="C8" s="280">
        <v>44150</v>
      </c>
      <c r="D8" s="281">
        <v>44167</v>
      </c>
      <c r="E8" s="88" t="s">
        <v>114</v>
      </c>
      <c r="F8" s="88" t="s">
        <v>145</v>
      </c>
      <c r="G8" s="89">
        <v>25000</v>
      </c>
      <c r="H8" s="89">
        <v>440</v>
      </c>
      <c r="I8" s="299"/>
      <c r="J8" s="89">
        <v>25440</v>
      </c>
      <c r="K8" s="90">
        <v>880</v>
      </c>
      <c r="L8" s="57"/>
    </row>
    <row r="9" spans="2:12" ht="39.6" hidden="1" x14ac:dyDescent="0.25">
      <c r="C9" s="300" t="s">
        <v>105</v>
      </c>
      <c r="D9" s="229" t="s">
        <v>106</v>
      </c>
      <c r="E9" s="230" t="s">
        <v>164</v>
      </c>
      <c r="F9" s="230" t="s">
        <v>165</v>
      </c>
      <c r="G9" s="301" t="s">
        <v>166</v>
      </c>
      <c r="H9" s="302" t="s">
        <v>167</v>
      </c>
      <c r="I9" s="302" t="s">
        <v>169</v>
      </c>
      <c r="J9" s="302" t="s">
        <v>4</v>
      </c>
      <c r="K9" s="303" t="s">
        <v>168</v>
      </c>
    </row>
    <row r="10" spans="2:12" x14ac:dyDescent="0.2">
      <c r="C10" s="157">
        <v>43094</v>
      </c>
      <c r="D10" s="158">
        <v>43095</v>
      </c>
      <c r="E10" s="91" t="s">
        <v>206</v>
      </c>
      <c r="F10" s="91" t="s">
        <v>207</v>
      </c>
      <c r="G10" s="112">
        <v>100000</v>
      </c>
      <c r="H10" s="79">
        <f>IF(ISBLANK(GSCapital[[#This Row],[UnrecoverableNotCalc]]), GSCapital[[#This Row],[Cost(Excl HST)]]*0.0176, 0)</f>
        <v>1760</v>
      </c>
      <c r="I10" s="113"/>
      <c r="J10" s="79">
        <f>GSCapital[Cost(Excl HST)]+GSCapital[Unrecoverable]+GSCapital[[#This Row],[UnrecoverableNotCalc]]</f>
        <v>101760</v>
      </c>
      <c r="K10" s="349" t="s">
        <v>208</v>
      </c>
      <c r="L10" s="57"/>
    </row>
    <row r="11" spans="2:12" ht="13.15" x14ac:dyDescent="0.25">
      <c r="C11" s="157"/>
      <c r="D11" s="158"/>
      <c r="E11" s="91"/>
      <c r="F11" s="91"/>
      <c r="G11" s="112"/>
      <c r="H11" s="79">
        <f>IF(ISBLANK(GSCapital[[#This Row],[UnrecoverableNotCalc]]), GSCapital[[#This Row],[Cost(Excl HST)]]*0.0176, 0)</f>
        <v>0</v>
      </c>
      <c r="I11" s="113"/>
      <c r="J11" s="114">
        <f>GSCapital[Cost(Excl HST)]+GSCapital[Unrecoverable]+GSCapital[[#This Row],[UnrecoverableNotCalc]]</f>
        <v>0</v>
      </c>
      <c r="K11" s="349"/>
    </row>
    <row r="12" spans="2:12" ht="13.15" x14ac:dyDescent="0.25">
      <c r="C12" s="157"/>
      <c r="D12" s="158"/>
      <c r="E12" s="91"/>
      <c r="F12" s="91"/>
      <c r="G12" s="112"/>
      <c r="H12" s="79">
        <f>IF(ISBLANK(GSCapital[[#This Row],[UnrecoverableNotCalc]]), GSCapital[[#This Row],[Cost(Excl HST)]]*0.0176, 0)</f>
        <v>0</v>
      </c>
      <c r="I12" s="113"/>
      <c r="J12" s="114">
        <f>GSCapital[Cost(Excl HST)]+GSCapital[Unrecoverable]+GSCapital[[#This Row],[UnrecoverableNotCalc]]</f>
        <v>0</v>
      </c>
      <c r="K12" s="349"/>
    </row>
    <row r="13" spans="2:12" ht="13.15" x14ac:dyDescent="0.25">
      <c r="C13" s="157"/>
      <c r="D13" s="158"/>
      <c r="E13" s="91"/>
      <c r="F13" s="91"/>
      <c r="G13" s="112"/>
      <c r="H13" s="79">
        <f>IF(ISBLANK(GSCapital[[#This Row],[UnrecoverableNotCalc]]), GSCapital[[#This Row],[Cost(Excl HST)]]*0.0176, 0)</f>
        <v>0</v>
      </c>
      <c r="I13" s="113"/>
      <c r="J13" s="114">
        <f>GSCapital[Cost(Excl HST)]+GSCapital[Unrecoverable]+GSCapital[[#This Row],[UnrecoverableNotCalc]]</f>
        <v>0</v>
      </c>
      <c r="K13" s="349"/>
    </row>
    <row r="14" spans="2:12" ht="13.15" x14ac:dyDescent="0.25">
      <c r="C14" s="157"/>
      <c r="D14" s="158"/>
      <c r="E14" s="91"/>
      <c r="F14" s="91"/>
      <c r="G14" s="112"/>
      <c r="H14" s="79">
        <f>IF(ISBLANK(GSCapital[[#This Row],[UnrecoverableNotCalc]]), GSCapital[[#This Row],[Cost(Excl HST)]]*0.0176, 0)</f>
        <v>0</v>
      </c>
      <c r="I14" s="113"/>
      <c r="J14" s="114">
        <f>GSCapital[Cost(Excl HST)]+GSCapital[Unrecoverable]+GSCapital[[#This Row],[UnrecoverableNotCalc]]</f>
        <v>0</v>
      </c>
      <c r="K14" s="349"/>
    </row>
    <row r="15" spans="2:12" ht="13.15" x14ac:dyDescent="0.25">
      <c r="C15" s="157"/>
      <c r="D15" s="158"/>
      <c r="E15" s="91"/>
      <c r="F15" s="91"/>
      <c r="G15" s="112"/>
      <c r="H15" s="79">
        <f>IF(ISBLANK(GSCapital[[#This Row],[UnrecoverableNotCalc]]), GSCapital[[#This Row],[Cost(Excl HST)]]*0.0176, 0)</f>
        <v>0</v>
      </c>
      <c r="I15" s="113"/>
      <c r="J15" s="114">
        <f>GSCapital[Cost(Excl HST)]+GSCapital[Unrecoverable]+GSCapital[[#This Row],[UnrecoverableNotCalc]]</f>
        <v>0</v>
      </c>
      <c r="K15" s="349"/>
    </row>
    <row r="16" spans="2:12" ht="13.15" x14ac:dyDescent="0.25">
      <c r="C16" s="157"/>
      <c r="D16" s="239"/>
      <c r="E16" s="160"/>
      <c r="F16" s="160"/>
      <c r="G16" s="161"/>
      <c r="H16" s="79">
        <f>IF(ISBLANK(GSCapital[[#This Row],[UnrecoverableNotCalc]]), GSCapital[[#This Row],[Cost(Excl HST)]]*0.0176, 0)</f>
        <v>0</v>
      </c>
      <c r="I16" s="113"/>
      <c r="J16" s="114">
        <f>GSCapital[Cost(Excl HST)]+GSCapital[Unrecoverable]+GSCapital[[#This Row],[UnrecoverableNotCalc]]</f>
        <v>0</v>
      </c>
      <c r="K16" s="349"/>
    </row>
    <row r="17" spans="3:11" ht="13.15" x14ac:dyDescent="0.25">
      <c r="C17" s="157"/>
      <c r="D17" s="239"/>
      <c r="E17" s="160"/>
      <c r="F17" s="160"/>
      <c r="G17" s="161"/>
      <c r="H17" s="79">
        <f>IF(ISBLANK(GSCapital[[#This Row],[UnrecoverableNotCalc]]), GSCapital[[#This Row],[Cost(Excl HST)]]*0.0176, 0)</f>
        <v>0</v>
      </c>
      <c r="I17" s="113"/>
      <c r="J17" s="114">
        <f>GSCapital[Cost(Excl HST)]+GSCapital[Unrecoverable]+GSCapital[[#This Row],[UnrecoverableNotCalc]]</f>
        <v>0</v>
      </c>
      <c r="K17" s="349"/>
    </row>
    <row r="18" spans="3:11" ht="13.15" x14ac:dyDescent="0.25">
      <c r="C18" s="157"/>
      <c r="D18" s="239"/>
      <c r="E18" s="160"/>
      <c r="F18" s="160"/>
      <c r="G18" s="161"/>
      <c r="H18" s="79">
        <f>IF(ISBLANK(GSCapital[[#This Row],[UnrecoverableNotCalc]]), GSCapital[[#This Row],[Cost(Excl HST)]]*0.0176, 0)</f>
        <v>0</v>
      </c>
      <c r="I18" s="113"/>
      <c r="J18" s="114">
        <f>GSCapital[Cost(Excl HST)]+GSCapital[Unrecoverable]+GSCapital[[#This Row],[UnrecoverableNotCalc]]</f>
        <v>0</v>
      </c>
      <c r="K18" s="349"/>
    </row>
    <row r="19" spans="3:11" ht="13.15" x14ac:dyDescent="0.25">
      <c r="C19" s="157"/>
      <c r="D19" s="239"/>
      <c r="E19" s="160"/>
      <c r="F19" s="160"/>
      <c r="G19" s="161"/>
      <c r="H19" s="79">
        <f>IF(ISBLANK(GSCapital[[#This Row],[UnrecoverableNotCalc]]), GSCapital[[#This Row],[Cost(Excl HST)]]*0.0176, 0)</f>
        <v>0</v>
      </c>
      <c r="I19" s="113"/>
      <c r="J19" s="114">
        <f>GSCapital[Cost(Excl HST)]+GSCapital[Unrecoverable]+GSCapital[[#This Row],[UnrecoverableNotCalc]]</f>
        <v>0</v>
      </c>
      <c r="K19" s="349"/>
    </row>
    <row r="20" spans="3:11" x14ac:dyDescent="0.2">
      <c r="C20" s="157"/>
      <c r="D20" s="239"/>
      <c r="E20" s="160"/>
      <c r="F20" s="160"/>
      <c r="G20" s="161"/>
      <c r="H20" s="114">
        <f>IF(ISBLANK(GSCapital[[#This Row],[UnrecoverableNotCalc]]), GSCapital[[#This Row],[Cost(Excl HST)]]*0.0176, 0)</f>
        <v>0</v>
      </c>
      <c r="I20" s="113"/>
      <c r="J20" s="114">
        <f>GSCapital[Cost(Excl HST)]+GSCapital[Unrecoverable]+GSCapital[[#This Row],[UnrecoverableNotCalc]]</f>
        <v>0</v>
      </c>
      <c r="K20" s="349"/>
    </row>
    <row r="21" spans="3:11" ht="15.75" thickBot="1" x14ac:dyDescent="0.25">
      <c r="C21" s="50"/>
      <c r="F21" s="41" t="s">
        <v>63</v>
      </c>
      <c r="G21" s="120">
        <f>SUM(GSCapital[[#All],[Cost(Excl HST)]])</f>
        <v>100000</v>
      </c>
      <c r="H21" s="120">
        <f>SUM(GSCapital[Unrecoverable])</f>
        <v>1760</v>
      </c>
      <c r="I21" s="120">
        <f>SUM(GSCapital[Total])</f>
        <v>101760</v>
      </c>
    </row>
    <row r="22" spans="3:11" ht="15" thickTop="1" x14ac:dyDescent="0.2">
      <c r="C22" s="110"/>
      <c r="D22" s="111"/>
    </row>
    <row r="23" spans="3:11" x14ac:dyDescent="0.2">
      <c r="C23" s="111"/>
      <c r="D23" s="111"/>
    </row>
  </sheetData>
  <sheetProtection selectLockedCells="1"/>
  <mergeCells count="4">
    <mergeCell ref="D3:H4"/>
    <mergeCell ref="B5:E5"/>
    <mergeCell ref="B7:B8"/>
    <mergeCell ref="D2:E2"/>
  </mergeCells>
  <conditionalFormatting sqref="K10:K20">
    <cfRule type="expression" dxfId="194" priority="1" stopIfTrue="1">
      <formula>$J10=0</formula>
    </cfRule>
    <cfRule type="expression" dxfId="193" priority="4">
      <formula>$K10=0</formula>
    </cfRule>
  </conditionalFormatting>
  <dataValidations xWindow="181" yWindow="660" count="2">
    <dataValidation type="date" allowBlank="1" showErrorMessage="1" errorTitle="Error" error="Please enter a valid date in the format YYYY/MM/DD" sqref="C10:D20">
      <formula1>41640</formula1>
      <formula2>73415</formula2>
    </dataValidation>
    <dataValidation type="decimal" allowBlank="1" showInputMessage="1" showErrorMessage="1" errorTitle="Error" error="Please enter a dollar value" sqref="G10:I20">
      <formula1>0</formula1>
      <formula2>500000000</formula2>
    </dataValidation>
  </dataValidations>
  <pageMargins left="0.25" right="0.25" top="0.76124999999999998" bottom="0.75" header="0.3" footer="0.3"/>
  <pageSetup paperSize="5" scale="74" fitToHeight="0" orientation="landscape" horizontalDpi="300" verticalDpi="300" r:id="rId1"/>
  <headerFooter>
    <oddHeader>&amp;L&amp;G&amp;C&amp;"Arial,Bold"&amp;18&amp;K000000Goods and Services Capital Costs&amp;R&amp;"-,Bold"Municipal Disaster Recovery Assistance Program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  <pageSetUpPr fitToPage="1"/>
  </sheetPr>
  <dimension ref="B1:U60"/>
  <sheetViews>
    <sheetView showGridLines="0" zoomScale="90" zoomScaleNormal="90" zoomScalePageLayoutView="80" workbookViewId="0">
      <pane ySplit="9" topLeftCell="A10" activePane="bottomLeft" state="frozen"/>
      <selection pane="bottomLeft" activeCell="E13" sqref="E13:G13"/>
    </sheetView>
  </sheetViews>
  <sheetFormatPr defaultRowHeight="14.25" x14ac:dyDescent="0.2"/>
  <cols>
    <col min="1" max="1" width="1" style="15" customWidth="1"/>
    <col min="2" max="2" width="2.625" style="15" customWidth="1"/>
    <col min="3" max="3" width="17.625" style="15" customWidth="1"/>
    <col min="4" max="4" width="10.75" style="15" customWidth="1"/>
    <col min="5" max="5" width="10.875" style="15" customWidth="1"/>
    <col min="6" max="6" width="10.75" style="15" customWidth="1"/>
    <col min="7" max="7" width="32.625" style="15" customWidth="1"/>
    <col min="8" max="8" width="9.25" style="15" customWidth="1"/>
    <col min="9" max="9" width="12.625" style="15" customWidth="1"/>
    <col min="10" max="10" width="18" style="15" customWidth="1"/>
    <col min="11" max="11" width="20.125" style="15" customWidth="1"/>
    <col min="12" max="12" width="12.375" style="15" customWidth="1"/>
    <col min="13" max="13" width="12.75" style="15" customWidth="1"/>
    <col min="14" max="14" width="12.375" style="15" customWidth="1"/>
    <col min="15" max="15" width="16.625" style="15" customWidth="1"/>
    <col min="16" max="16" width="10.625" style="15" customWidth="1"/>
    <col min="17" max="17" width="27.375" style="15" customWidth="1"/>
    <col min="18" max="18" width="11.125" style="15" customWidth="1"/>
    <col min="19" max="19" width="9" style="15" customWidth="1"/>
    <col min="20" max="20" width="9" style="15"/>
    <col min="21" max="21" width="14.625" style="15" hidden="1" customWidth="1"/>
    <col min="22" max="22" width="6.25" style="15" customWidth="1"/>
    <col min="23" max="23" width="9.75" style="15" customWidth="1"/>
    <col min="24" max="24" width="9.125" style="15" customWidth="1"/>
    <col min="25" max="25" width="8" style="15" customWidth="1"/>
    <col min="26" max="219" width="8" style="15"/>
    <col min="220" max="220" width="1" style="15" customWidth="1"/>
    <col min="221" max="221" width="16.25" style="15" customWidth="1"/>
    <col min="222" max="222" width="18.625" style="15" customWidth="1"/>
    <col min="223" max="223" width="6" style="15" customWidth="1"/>
    <col min="224" max="224" width="15.875" style="15" customWidth="1"/>
    <col min="225" max="225" width="10.375" style="15" customWidth="1"/>
    <col min="226" max="226" width="32.125" style="15" customWidth="1"/>
    <col min="227" max="227" width="13.625" style="15" customWidth="1"/>
    <col min="228" max="228" width="7.125" style="15" customWidth="1"/>
    <col min="229" max="229" width="4.375" style="15" customWidth="1"/>
    <col min="230" max="232" width="9.375" style="15" customWidth="1"/>
    <col min="233" max="475" width="8" style="15"/>
    <col min="476" max="476" width="1" style="15" customWidth="1"/>
    <col min="477" max="477" width="16.25" style="15" customWidth="1"/>
    <col min="478" max="478" width="18.625" style="15" customWidth="1"/>
    <col min="479" max="479" width="6" style="15" customWidth="1"/>
    <col min="480" max="480" width="15.875" style="15" customWidth="1"/>
    <col min="481" max="481" width="10.375" style="15" customWidth="1"/>
    <col min="482" max="482" width="32.125" style="15" customWidth="1"/>
    <col min="483" max="483" width="13.625" style="15" customWidth="1"/>
    <col min="484" max="484" width="7.125" style="15" customWidth="1"/>
    <col min="485" max="485" width="4.375" style="15" customWidth="1"/>
    <col min="486" max="488" width="9.375" style="15" customWidth="1"/>
    <col min="489" max="731" width="8" style="15"/>
    <col min="732" max="732" width="1" style="15" customWidth="1"/>
    <col min="733" max="733" width="16.25" style="15" customWidth="1"/>
    <col min="734" max="734" width="18.625" style="15" customWidth="1"/>
    <col min="735" max="735" width="6" style="15" customWidth="1"/>
    <col min="736" max="736" width="15.875" style="15" customWidth="1"/>
    <col min="737" max="737" width="10.375" style="15" customWidth="1"/>
    <col min="738" max="738" width="32.125" style="15" customWidth="1"/>
    <col min="739" max="739" width="13.625" style="15" customWidth="1"/>
    <col min="740" max="740" width="7.125" style="15" customWidth="1"/>
    <col min="741" max="741" width="4.375" style="15" customWidth="1"/>
    <col min="742" max="744" width="9.375" style="15" customWidth="1"/>
    <col min="745" max="987" width="8" style="15"/>
    <col min="988" max="988" width="1" style="15" customWidth="1"/>
    <col min="989" max="989" width="16.25" style="15" customWidth="1"/>
    <col min="990" max="990" width="18.625" style="15" customWidth="1"/>
    <col min="991" max="991" width="6" style="15" customWidth="1"/>
    <col min="992" max="992" width="15.875" style="15" customWidth="1"/>
    <col min="993" max="993" width="10.375" style="15" customWidth="1"/>
    <col min="994" max="994" width="32.125" style="15" customWidth="1"/>
    <col min="995" max="995" width="13.625" style="15" customWidth="1"/>
    <col min="996" max="996" width="7.125" style="15" customWidth="1"/>
    <col min="997" max="997" width="4.375" style="15" customWidth="1"/>
    <col min="998" max="1000" width="9.375" style="15" customWidth="1"/>
    <col min="1001" max="1243" width="9" style="15"/>
    <col min="1244" max="1244" width="1" style="15" customWidth="1"/>
    <col min="1245" max="1245" width="16.25" style="15" customWidth="1"/>
    <col min="1246" max="1246" width="18.625" style="15" customWidth="1"/>
    <col min="1247" max="1247" width="6" style="15" customWidth="1"/>
    <col min="1248" max="1248" width="15.875" style="15" customWidth="1"/>
    <col min="1249" max="1249" width="10.375" style="15" customWidth="1"/>
    <col min="1250" max="1250" width="32.125" style="15" customWidth="1"/>
    <col min="1251" max="1251" width="13.625" style="15" customWidth="1"/>
    <col min="1252" max="1252" width="7.125" style="15" customWidth="1"/>
    <col min="1253" max="1253" width="4.375" style="15" customWidth="1"/>
    <col min="1254" max="1256" width="9.375" style="15" customWidth="1"/>
    <col min="1257" max="1499" width="8" style="15"/>
    <col min="1500" max="1500" width="1" style="15" customWidth="1"/>
    <col min="1501" max="1501" width="16.25" style="15" customWidth="1"/>
    <col min="1502" max="1502" width="18.625" style="15" customWidth="1"/>
    <col min="1503" max="1503" width="6" style="15" customWidth="1"/>
    <col min="1504" max="1504" width="15.875" style="15" customWidth="1"/>
    <col min="1505" max="1505" width="10.375" style="15" customWidth="1"/>
    <col min="1506" max="1506" width="32.125" style="15" customWidth="1"/>
    <col min="1507" max="1507" width="13.625" style="15" customWidth="1"/>
    <col min="1508" max="1508" width="7.125" style="15" customWidth="1"/>
    <col min="1509" max="1509" width="4.375" style="15" customWidth="1"/>
    <col min="1510" max="1512" width="9.375" style="15" customWidth="1"/>
    <col min="1513" max="1755" width="8" style="15"/>
    <col min="1756" max="1756" width="1" style="15" customWidth="1"/>
    <col min="1757" max="1757" width="16.25" style="15" customWidth="1"/>
    <col min="1758" max="1758" width="18.625" style="15" customWidth="1"/>
    <col min="1759" max="1759" width="6" style="15" customWidth="1"/>
    <col min="1760" max="1760" width="15.875" style="15" customWidth="1"/>
    <col min="1761" max="1761" width="10.375" style="15" customWidth="1"/>
    <col min="1762" max="1762" width="32.125" style="15" customWidth="1"/>
    <col min="1763" max="1763" width="13.625" style="15" customWidth="1"/>
    <col min="1764" max="1764" width="7.125" style="15" customWidth="1"/>
    <col min="1765" max="1765" width="4.375" style="15" customWidth="1"/>
    <col min="1766" max="1768" width="9.375" style="15" customWidth="1"/>
    <col min="1769" max="2011" width="8" style="15"/>
    <col min="2012" max="2012" width="1" style="15" customWidth="1"/>
    <col min="2013" max="2013" width="16.25" style="15" customWidth="1"/>
    <col min="2014" max="2014" width="18.625" style="15" customWidth="1"/>
    <col min="2015" max="2015" width="6" style="15" customWidth="1"/>
    <col min="2016" max="2016" width="15.875" style="15" customWidth="1"/>
    <col min="2017" max="2017" width="10.375" style="15" customWidth="1"/>
    <col min="2018" max="2018" width="32.125" style="15" customWidth="1"/>
    <col min="2019" max="2019" width="13.625" style="15" customWidth="1"/>
    <col min="2020" max="2020" width="7.125" style="15" customWidth="1"/>
    <col min="2021" max="2021" width="4.375" style="15" customWidth="1"/>
    <col min="2022" max="2024" width="9.375" style="15" customWidth="1"/>
    <col min="2025" max="2267" width="9" style="15"/>
    <col min="2268" max="2268" width="1" style="15" customWidth="1"/>
    <col min="2269" max="2269" width="16.25" style="15" customWidth="1"/>
    <col min="2270" max="2270" width="18.625" style="15" customWidth="1"/>
    <col min="2271" max="2271" width="6" style="15" customWidth="1"/>
    <col min="2272" max="2272" width="15.875" style="15" customWidth="1"/>
    <col min="2273" max="2273" width="10.375" style="15" customWidth="1"/>
    <col min="2274" max="2274" width="32.125" style="15" customWidth="1"/>
    <col min="2275" max="2275" width="13.625" style="15" customWidth="1"/>
    <col min="2276" max="2276" width="7.125" style="15" customWidth="1"/>
    <col min="2277" max="2277" width="4.375" style="15" customWidth="1"/>
    <col min="2278" max="2280" width="9.375" style="15" customWidth="1"/>
    <col min="2281" max="2523" width="8" style="15"/>
    <col min="2524" max="2524" width="1" style="15" customWidth="1"/>
    <col min="2525" max="2525" width="16.25" style="15" customWidth="1"/>
    <col min="2526" max="2526" width="18.625" style="15" customWidth="1"/>
    <col min="2527" max="2527" width="6" style="15" customWidth="1"/>
    <col min="2528" max="2528" width="15.875" style="15" customWidth="1"/>
    <col min="2529" max="2529" width="10.375" style="15" customWidth="1"/>
    <col min="2530" max="2530" width="32.125" style="15" customWidth="1"/>
    <col min="2531" max="2531" width="13.625" style="15" customWidth="1"/>
    <col min="2532" max="2532" width="7.125" style="15" customWidth="1"/>
    <col min="2533" max="2533" width="4.375" style="15" customWidth="1"/>
    <col min="2534" max="2536" width="9.375" style="15" customWidth="1"/>
    <col min="2537" max="2779" width="8" style="15"/>
    <col min="2780" max="2780" width="1" style="15" customWidth="1"/>
    <col min="2781" max="2781" width="16.25" style="15" customWidth="1"/>
    <col min="2782" max="2782" width="18.625" style="15" customWidth="1"/>
    <col min="2783" max="2783" width="6" style="15" customWidth="1"/>
    <col min="2784" max="2784" width="15.875" style="15" customWidth="1"/>
    <col min="2785" max="2785" width="10.375" style="15" customWidth="1"/>
    <col min="2786" max="2786" width="32.125" style="15" customWidth="1"/>
    <col min="2787" max="2787" width="13.625" style="15" customWidth="1"/>
    <col min="2788" max="2788" width="7.125" style="15" customWidth="1"/>
    <col min="2789" max="2789" width="4.375" style="15" customWidth="1"/>
    <col min="2790" max="2792" width="9.375" style="15" customWidth="1"/>
    <col min="2793" max="3035" width="8" style="15"/>
    <col min="3036" max="3036" width="1" style="15" customWidth="1"/>
    <col min="3037" max="3037" width="16.25" style="15" customWidth="1"/>
    <col min="3038" max="3038" width="18.625" style="15" customWidth="1"/>
    <col min="3039" max="3039" width="6" style="15" customWidth="1"/>
    <col min="3040" max="3040" width="15.875" style="15" customWidth="1"/>
    <col min="3041" max="3041" width="10.375" style="15" customWidth="1"/>
    <col min="3042" max="3042" width="32.125" style="15" customWidth="1"/>
    <col min="3043" max="3043" width="13.625" style="15" customWidth="1"/>
    <col min="3044" max="3044" width="7.125" style="15" customWidth="1"/>
    <col min="3045" max="3045" width="4.375" style="15" customWidth="1"/>
    <col min="3046" max="3048" width="9.375" style="15" customWidth="1"/>
    <col min="3049" max="3291" width="9" style="15"/>
    <col min="3292" max="3292" width="1" style="15" customWidth="1"/>
    <col min="3293" max="3293" width="16.25" style="15" customWidth="1"/>
    <col min="3294" max="3294" width="18.625" style="15" customWidth="1"/>
    <col min="3295" max="3295" width="6" style="15" customWidth="1"/>
    <col min="3296" max="3296" width="15.875" style="15" customWidth="1"/>
    <col min="3297" max="3297" width="10.375" style="15" customWidth="1"/>
    <col min="3298" max="3298" width="32.125" style="15" customWidth="1"/>
    <col min="3299" max="3299" width="13.625" style="15" customWidth="1"/>
    <col min="3300" max="3300" width="7.125" style="15" customWidth="1"/>
    <col min="3301" max="3301" width="4.375" style="15" customWidth="1"/>
    <col min="3302" max="3304" width="9.375" style="15" customWidth="1"/>
    <col min="3305" max="3547" width="8" style="15"/>
    <col min="3548" max="3548" width="1" style="15" customWidth="1"/>
    <col min="3549" max="3549" width="16.25" style="15" customWidth="1"/>
    <col min="3550" max="3550" width="18.625" style="15" customWidth="1"/>
    <col min="3551" max="3551" width="6" style="15" customWidth="1"/>
    <col min="3552" max="3552" width="15.875" style="15" customWidth="1"/>
    <col min="3553" max="3553" width="10.375" style="15" customWidth="1"/>
    <col min="3554" max="3554" width="32.125" style="15" customWidth="1"/>
    <col min="3555" max="3555" width="13.625" style="15" customWidth="1"/>
    <col min="3556" max="3556" width="7.125" style="15" customWidth="1"/>
    <col min="3557" max="3557" width="4.375" style="15" customWidth="1"/>
    <col min="3558" max="3560" width="9.375" style="15" customWidth="1"/>
    <col min="3561" max="3803" width="8" style="15"/>
    <col min="3804" max="3804" width="1" style="15" customWidth="1"/>
    <col min="3805" max="3805" width="16.25" style="15" customWidth="1"/>
    <col min="3806" max="3806" width="18.625" style="15" customWidth="1"/>
    <col min="3807" max="3807" width="6" style="15" customWidth="1"/>
    <col min="3808" max="3808" width="15.875" style="15" customWidth="1"/>
    <col min="3809" max="3809" width="10.375" style="15" customWidth="1"/>
    <col min="3810" max="3810" width="32.125" style="15" customWidth="1"/>
    <col min="3811" max="3811" width="13.625" style="15" customWidth="1"/>
    <col min="3812" max="3812" width="7.125" style="15" customWidth="1"/>
    <col min="3813" max="3813" width="4.375" style="15" customWidth="1"/>
    <col min="3814" max="3816" width="9.375" style="15" customWidth="1"/>
    <col min="3817" max="4059" width="8" style="15"/>
    <col min="4060" max="4060" width="1" style="15" customWidth="1"/>
    <col min="4061" max="4061" width="16.25" style="15" customWidth="1"/>
    <col min="4062" max="4062" width="18.625" style="15" customWidth="1"/>
    <col min="4063" max="4063" width="6" style="15" customWidth="1"/>
    <col min="4064" max="4064" width="15.875" style="15" customWidth="1"/>
    <col min="4065" max="4065" width="10.375" style="15" customWidth="1"/>
    <col min="4066" max="4066" width="32.125" style="15" customWidth="1"/>
    <col min="4067" max="4067" width="13.625" style="15" customWidth="1"/>
    <col min="4068" max="4068" width="7.125" style="15" customWidth="1"/>
    <col min="4069" max="4069" width="4.375" style="15" customWidth="1"/>
    <col min="4070" max="4072" width="9.375" style="15" customWidth="1"/>
    <col min="4073" max="4315" width="9" style="15"/>
    <col min="4316" max="4316" width="1" style="15" customWidth="1"/>
    <col min="4317" max="4317" width="16.25" style="15" customWidth="1"/>
    <col min="4318" max="4318" width="18.625" style="15" customWidth="1"/>
    <col min="4319" max="4319" width="6" style="15" customWidth="1"/>
    <col min="4320" max="4320" width="15.875" style="15" customWidth="1"/>
    <col min="4321" max="4321" width="10.375" style="15" customWidth="1"/>
    <col min="4322" max="4322" width="32.125" style="15" customWidth="1"/>
    <col min="4323" max="4323" width="13.625" style="15" customWidth="1"/>
    <col min="4324" max="4324" width="7.125" style="15" customWidth="1"/>
    <col min="4325" max="4325" width="4.375" style="15" customWidth="1"/>
    <col min="4326" max="4328" width="9.375" style="15" customWidth="1"/>
    <col min="4329" max="4571" width="8" style="15"/>
    <col min="4572" max="4572" width="1" style="15" customWidth="1"/>
    <col min="4573" max="4573" width="16.25" style="15" customWidth="1"/>
    <col min="4574" max="4574" width="18.625" style="15" customWidth="1"/>
    <col min="4575" max="4575" width="6" style="15" customWidth="1"/>
    <col min="4576" max="4576" width="15.875" style="15" customWidth="1"/>
    <col min="4577" max="4577" width="10.375" style="15" customWidth="1"/>
    <col min="4578" max="4578" width="32.125" style="15" customWidth="1"/>
    <col min="4579" max="4579" width="13.625" style="15" customWidth="1"/>
    <col min="4580" max="4580" width="7.125" style="15" customWidth="1"/>
    <col min="4581" max="4581" width="4.375" style="15" customWidth="1"/>
    <col min="4582" max="4584" width="9.375" style="15" customWidth="1"/>
    <col min="4585" max="4827" width="8" style="15"/>
    <col min="4828" max="4828" width="1" style="15" customWidth="1"/>
    <col min="4829" max="4829" width="16.25" style="15" customWidth="1"/>
    <col min="4830" max="4830" width="18.625" style="15" customWidth="1"/>
    <col min="4831" max="4831" width="6" style="15" customWidth="1"/>
    <col min="4832" max="4832" width="15.875" style="15" customWidth="1"/>
    <col min="4833" max="4833" width="10.375" style="15" customWidth="1"/>
    <col min="4834" max="4834" width="32.125" style="15" customWidth="1"/>
    <col min="4835" max="4835" width="13.625" style="15" customWidth="1"/>
    <col min="4836" max="4836" width="7.125" style="15" customWidth="1"/>
    <col min="4837" max="4837" width="4.375" style="15" customWidth="1"/>
    <col min="4838" max="4840" width="9.375" style="15" customWidth="1"/>
    <col min="4841" max="5083" width="8" style="15"/>
    <col min="5084" max="5084" width="1" style="15" customWidth="1"/>
    <col min="5085" max="5085" width="16.25" style="15" customWidth="1"/>
    <col min="5086" max="5086" width="18.625" style="15" customWidth="1"/>
    <col min="5087" max="5087" width="6" style="15" customWidth="1"/>
    <col min="5088" max="5088" width="15.875" style="15" customWidth="1"/>
    <col min="5089" max="5089" width="10.375" style="15" customWidth="1"/>
    <col min="5090" max="5090" width="32.125" style="15" customWidth="1"/>
    <col min="5091" max="5091" width="13.625" style="15" customWidth="1"/>
    <col min="5092" max="5092" width="7.125" style="15" customWidth="1"/>
    <col min="5093" max="5093" width="4.375" style="15" customWidth="1"/>
    <col min="5094" max="5096" width="9.375" style="15" customWidth="1"/>
    <col min="5097" max="5339" width="9" style="15"/>
    <col min="5340" max="5340" width="1" style="15" customWidth="1"/>
    <col min="5341" max="5341" width="16.25" style="15" customWidth="1"/>
    <col min="5342" max="5342" width="18.625" style="15" customWidth="1"/>
    <col min="5343" max="5343" width="6" style="15" customWidth="1"/>
    <col min="5344" max="5344" width="15.875" style="15" customWidth="1"/>
    <col min="5345" max="5345" width="10.375" style="15" customWidth="1"/>
    <col min="5346" max="5346" width="32.125" style="15" customWidth="1"/>
    <col min="5347" max="5347" width="13.625" style="15" customWidth="1"/>
    <col min="5348" max="5348" width="7.125" style="15" customWidth="1"/>
    <col min="5349" max="5349" width="4.375" style="15" customWidth="1"/>
    <col min="5350" max="5352" width="9.375" style="15" customWidth="1"/>
    <col min="5353" max="5595" width="8" style="15"/>
    <col min="5596" max="5596" width="1" style="15" customWidth="1"/>
    <col min="5597" max="5597" width="16.25" style="15" customWidth="1"/>
    <col min="5598" max="5598" width="18.625" style="15" customWidth="1"/>
    <col min="5599" max="5599" width="6" style="15" customWidth="1"/>
    <col min="5600" max="5600" width="15.875" style="15" customWidth="1"/>
    <col min="5601" max="5601" width="10.375" style="15" customWidth="1"/>
    <col min="5602" max="5602" width="32.125" style="15" customWidth="1"/>
    <col min="5603" max="5603" width="13.625" style="15" customWidth="1"/>
    <col min="5604" max="5604" width="7.125" style="15" customWidth="1"/>
    <col min="5605" max="5605" width="4.375" style="15" customWidth="1"/>
    <col min="5606" max="5608" width="9.375" style="15" customWidth="1"/>
    <col min="5609" max="5851" width="8" style="15"/>
    <col min="5852" max="5852" width="1" style="15" customWidth="1"/>
    <col min="5853" max="5853" width="16.25" style="15" customWidth="1"/>
    <col min="5854" max="5854" width="18.625" style="15" customWidth="1"/>
    <col min="5855" max="5855" width="6" style="15" customWidth="1"/>
    <col min="5856" max="5856" width="15.875" style="15" customWidth="1"/>
    <col min="5857" max="5857" width="10.375" style="15" customWidth="1"/>
    <col min="5858" max="5858" width="32.125" style="15" customWidth="1"/>
    <col min="5859" max="5859" width="13.625" style="15" customWidth="1"/>
    <col min="5860" max="5860" width="7.125" style="15" customWidth="1"/>
    <col min="5861" max="5861" width="4.375" style="15" customWidth="1"/>
    <col min="5862" max="5864" width="9.375" style="15" customWidth="1"/>
    <col min="5865" max="6107" width="8" style="15"/>
    <col min="6108" max="6108" width="1" style="15" customWidth="1"/>
    <col min="6109" max="6109" width="16.25" style="15" customWidth="1"/>
    <col min="6110" max="6110" width="18.625" style="15" customWidth="1"/>
    <col min="6111" max="6111" width="6" style="15" customWidth="1"/>
    <col min="6112" max="6112" width="15.875" style="15" customWidth="1"/>
    <col min="6113" max="6113" width="10.375" style="15" customWidth="1"/>
    <col min="6114" max="6114" width="32.125" style="15" customWidth="1"/>
    <col min="6115" max="6115" width="13.625" style="15" customWidth="1"/>
    <col min="6116" max="6116" width="7.125" style="15" customWidth="1"/>
    <col min="6117" max="6117" width="4.375" style="15" customWidth="1"/>
    <col min="6118" max="6120" width="9.375" style="15" customWidth="1"/>
    <col min="6121" max="6363" width="9" style="15"/>
    <col min="6364" max="6364" width="1" style="15" customWidth="1"/>
    <col min="6365" max="6365" width="16.25" style="15" customWidth="1"/>
    <col min="6366" max="6366" width="18.625" style="15" customWidth="1"/>
    <col min="6367" max="6367" width="6" style="15" customWidth="1"/>
    <col min="6368" max="6368" width="15.875" style="15" customWidth="1"/>
    <col min="6369" max="6369" width="10.375" style="15" customWidth="1"/>
    <col min="6370" max="6370" width="32.125" style="15" customWidth="1"/>
    <col min="6371" max="6371" width="13.625" style="15" customWidth="1"/>
    <col min="6372" max="6372" width="7.125" style="15" customWidth="1"/>
    <col min="6373" max="6373" width="4.375" style="15" customWidth="1"/>
    <col min="6374" max="6376" width="9.375" style="15" customWidth="1"/>
    <col min="6377" max="6619" width="8" style="15"/>
    <col min="6620" max="6620" width="1" style="15" customWidth="1"/>
    <col min="6621" max="6621" width="16.25" style="15" customWidth="1"/>
    <col min="6622" max="6622" width="18.625" style="15" customWidth="1"/>
    <col min="6623" max="6623" width="6" style="15" customWidth="1"/>
    <col min="6624" max="6624" width="15.875" style="15" customWidth="1"/>
    <col min="6625" max="6625" width="10.375" style="15" customWidth="1"/>
    <col min="6626" max="6626" width="32.125" style="15" customWidth="1"/>
    <col min="6627" max="6627" width="13.625" style="15" customWidth="1"/>
    <col min="6628" max="6628" width="7.125" style="15" customWidth="1"/>
    <col min="6629" max="6629" width="4.375" style="15" customWidth="1"/>
    <col min="6630" max="6632" width="9.375" style="15" customWidth="1"/>
    <col min="6633" max="6875" width="8" style="15"/>
    <col min="6876" max="6876" width="1" style="15" customWidth="1"/>
    <col min="6877" max="6877" width="16.25" style="15" customWidth="1"/>
    <col min="6878" max="6878" width="18.625" style="15" customWidth="1"/>
    <col min="6879" max="6879" width="6" style="15" customWidth="1"/>
    <col min="6880" max="6880" width="15.875" style="15" customWidth="1"/>
    <col min="6881" max="6881" width="10.375" style="15" customWidth="1"/>
    <col min="6882" max="6882" width="32.125" style="15" customWidth="1"/>
    <col min="6883" max="6883" width="13.625" style="15" customWidth="1"/>
    <col min="6884" max="6884" width="7.125" style="15" customWidth="1"/>
    <col min="6885" max="6885" width="4.375" style="15" customWidth="1"/>
    <col min="6886" max="6888" width="9.375" style="15" customWidth="1"/>
    <col min="6889" max="7131" width="8" style="15"/>
    <col min="7132" max="7132" width="1" style="15" customWidth="1"/>
    <col min="7133" max="7133" width="16.25" style="15" customWidth="1"/>
    <col min="7134" max="7134" width="18.625" style="15" customWidth="1"/>
    <col min="7135" max="7135" width="6" style="15" customWidth="1"/>
    <col min="7136" max="7136" width="15.875" style="15" customWidth="1"/>
    <col min="7137" max="7137" width="10.375" style="15" customWidth="1"/>
    <col min="7138" max="7138" width="32.125" style="15" customWidth="1"/>
    <col min="7139" max="7139" width="13.625" style="15" customWidth="1"/>
    <col min="7140" max="7140" width="7.125" style="15" customWidth="1"/>
    <col min="7141" max="7141" width="4.375" style="15" customWidth="1"/>
    <col min="7142" max="7144" width="9.375" style="15" customWidth="1"/>
    <col min="7145" max="7387" width="9" style="15"/>
    <col min="7388" max="7388" width="1" style="15" customWidth="1"/>
    <col min="7389" max="7389" width="16.25" style="15" customWidth="1"/>
    <col min="7390" max="7390" width="18.625" style="15" customWidth="1"/>
    <col min="7391" max="7391" width="6" style="15" customWidth="1"/>
    <col min="7392" max="7392" width="15.875" style="15" customWidth="1"/>
    <col min="7393" max="7393" width="10.375" style="15" customWidth="1"/>
    <col min="7394" max="7394" width="32.125" style="15" customWidth="1"/>
    <col min="7395" max="7395" width="13.625" style="15" customWidth="1"/>
    <col min="7396" max="7396" width="7.125" style="15" customWidth="1"/>
    <col min="7397" max="7397" width="4.375" style="15" customWidth="1"/>
    <col min="7398" max="7400" width="9.375" style="15" customWidth="1"/>
    <col min="7401" max="7643" width="8" style="15"/>
    <col min="7644" max="7644" width="1" style="15" customWidth="1"/>
    <col min="7645" max="7645" width="16.25" style="15" customWidth="1"/>
    <col min="7646" max="7646" width="18.625" style="15" customWidth="1"/>
    <col min="7647" max="7647" width="6" style="15" customWidth="1"/>
    <col min="7648" max="7648" width="15.875" style="15" customWidth="1"/>
    <col min="7649" max="7649" width="10.375" style="15" customWidth="1"/>
    <col min="7650" max="7650" width="32.125" style="15" customWidth="1"/>
    <col min="7651" max="7651" width="13.625" style="15" customWidth="1"/>
    <col min="7652" max="7652" width="7.125" style="15" customWidth="1"/>
    <col min="7653" max="7653" width="4.375" style="15" customWidth="1"/>
    <col min="7654" max="7656" width="9.375" style="15" customWidth="1"/>
    <col min="7657" max="7899" width="8" style="15"/>
    <col min="7900" max="7900" width="1" style="15" customWidth="1"/>
    <col min="7901" max="7901" width="16.25" style="15" customWidth="1"/>
    <col min="7902" max="7902" width="18.625" style="15" customWidth="1"/>
    <col min="7903" max="7903" width="6" style="15" customWidth="1"/>
    <col min="7904" max="7904" width="15.875" style="15" customWidth="1"/>
    <col min="7905" max="7905" width="10.375" style="15" customWidth="1"/>
    <col min="7906" max="7906" width="32.125" style="15" customWidth="1"/>
    <col min="7907" max="7907" width="13.625" style="15" customWidth="1"/>
    <col min="7908" max="7908" width="7.125" style="15" customWidth="1"/>
    <col min="7909" max="7909" width="4.375" style="15" customWidth="1"/>
    <col min="7910" max="7912" width="9.375" style="15" customWidth="1"/>
    <col min="7913" max="8155" width="8" style="15"/>
    <col min="8156" max="8156" width="1" style="15" customWidth="1"/>
    <col min="8157" max="8157" width="16.25" style="15" customWidth="1"/>
    <col min="8158" max="8158" width="18.625" style="15" customWidth="1"/>
    <col min="8159" max="8159" width="6" style="15" customWidth="1"/>
    <col min="8160" max="8160" width="15.875" style="15" customWidth="1"/>
    <col min="8161" max="8161" width="10.375" style="15" customWidth="1"/>
    <col min="8162" max="8162" width="32.125" style="15" customWidth="1"/>
    <col min="8163" max="8163" width="13.625" style="15" customWidth="1"/>
    <col min="8164" max="8164" width="7.125" style="15" customWidth="1"/>
    <col min="8165" max="8165" width="4.375" style="15" customWidth="1"/>
    <col min="8166" max="8168" width="9.375" style="15" customWidth="1"/>
    <col min="8169" max="8411" width="9" style="15"/>
    <col min="8412" max="8412" width="1" style="15" customWidth="1"/>
    <col min="8413" max="8413" width="16.25" style="15" customWidth="1"/>
    <col min="8414" max="8414" width="18.625" style="15" customWidth="1"/>
    <col min="8415" max="8415" width="6" style="15" customWidth="1"/>
    <col min="8416" max="8416" width="15.875" style="15" customWidth="1"/>
    <col min="8417" max="8417" width="10.375" style="15" customWidth="1"/>
    <col min="8418" max="8418" width="32.125" style="15" customWidth="1"/>
    <col min="8419" max="8419" width="13.625" style="15" customWidth="1"/>
    <col min="8420" max="8420" width="7.125" style="15" customWidth="1"/>
    <col min="8421" max="8421" width="4.375" style="15" customWidth="1"/>
    <col min="8422" max="8424" width="9.375" style="15" customWidth="1"/>
    <col min="8425" max="8667" width="8" style="15"/>
    <col min="8668" max="8668" width="1" style="15" customWidth="1"/>
    <col min="8669" max="8669" width="16.25" style="15" customWidth="1"/>
    <col min="8670" max="8670" width="18.625" style="15" customWidth="1"/>
    <col min="8671" max="8671" width="6" style="15" customWidth="1"/>
    <col min="8672" max="8672" width="15.875" style="15" customWidth="1"/>
    <col min="8673" max="8673" width="10.375" style="15" customWidth="1"/>
    <col min="8674" max="8674" width="32.125" style="15" customWidth="1"/>
    <col min="8675" max="8675" width="13.625" style="15" customWidth="1"/>
    <col min="8676" max="8676" width="7.125" style="15" customWidth="1"/>
    <col min="8677" max="8677" width="4.375" style="15" customWidth="1"/>
    <col min="8678" max="8680" width="9.375" style="15" customWidth="1"/>
    <col min="8681" max="8923" width="8" style="15"/>
    <col min="8924" max="8924" width="1" style="15" customWidth="1"/>
    <col min="8925" max="8925" width="16.25" style="15" customWidth="1"/>
    <col min="8926" max="8926" width="18.625" style="15" customWidth="1"/>
    <col min="8927" max="8927" width="6" style="15" customWidth="1"/>
    <col min="8928" max="8928" width="15.875" style="15" customWidth="1"/>
    <col min="8929" max="8929" width="10.375" style="15" customWidth="1"/>
    <col min="8930" max="8930" width="32.125" style="15" customWidth="1"/>
    <col min="8931" max="8931" width="13.625" style="15" customWidth="1"/>
    <col min="8932" max="8932" width="7.125" style="15" customWidth="1"/>
    <col min="8933" max="8933" width="4.375" style="15" customWidth="1"/>
    <col min="8934" max="8936" width="9.375" style="15" customWidth="1"/>
    <col min="8937" max="9179" width="8" style="15"/>
    <col min="9180" max="9180" width="1" style="15" customWidth="1"/>
    <col min="9181" max="9181" width="16.25" style="15" customWidth="1"/>
    <col min="9182" max="9182" width="18.625" style="15" customWidth="1"/>
    <col min="9183" max="9183" width="6" style="15" customWidth="1"/>
    <col min="9184" max="9184" width="15.875" style="15" customWidth="1"/>
    <col min="9185" max="9185" width="10.375" style="15" customWidth="1"/>
    <col min="9186" max="9186" width="32.125" style="15" customWidth="1"/>
    <col min="9187" max="9187" width="13.625" style="15" customWidth="1"/>
    <col min="9188" max="9188" width="7.125" style="15" customWidth="1"/>
    <col min="9189" max="9189" width="4.375" style="15" customWidth="1"/>
    <col min="9190" max="9192" width="9.375" style="15" customWidth="1"/>
    <col min="9193" max="9435" width="9" style="15"/>
    <col min="9436" max="9436" width="1" style="15" customWidth="1"/>
    <col min="9437" max="9437" width="16.25" style="15" customWidth="1"/>
    <col min="9438" max="9438" width="18.625" style="15" customWidth="1"/>
    <col min="9439" max="9439" width="6" style="15" customWidth="1"/>
    <col min="9440" max="9440" width="15.875" style="15" customWidth="1"/>
    <col min="9441" max="9441" width="10.375" style="15" customWidth="1"/>
    <col min="9442" max="9442" width="32.125" style="15" customWidth="1"/>
    <col min="9443" max="9443" width="13.625" style="15" customWidth="1"/>
    <col min="9444" max="9444" width="7.125" style="15" customWidth="1"/>
    <col min="9445" max="9445" width="4.375" style="15" customWidth="1"/>
    <col min="9446" max="9448" width="9.375" style="15" customWidth="1"/>
    <col min="9449" max="9691" width="8" style="15"/>
    <col min="9692" max="9692" width="1" style="15" customWidth="1"/>
    <col min="9693" max="9693" width="16.25" style="15" customWidth="1"/>
    <col min="9694" max="9694" width="18.625" style="15" customWidth="1"/>
    <col min="9695" max="9695" width="6" style="15" customWidth="1"/>
    <col min="9696" max="9696" width="15.875" style="15" customWidth="1"/>
    <col min="9697" max="9697" width="10.375" style="15" customWidth="1"/>
    <col min="9698" max="9698" width="32.125" style="15" customWidth="1"/>
    <col min="9699" max="9699" width="13.625" style="15" customWidth="1"/>
    <col min="9700" max="9700" width="7.125" style="15" customWidth="1"/>
    <col min="9701" max="9701" width="4.375" style="15" customWidth="1"/>
    <col min="9702" max="9704" width="9.375" style="15" customWidth="1"/>
    <col min="9705" max="9947" width="8" style="15"/>
    <col min="9948" max="9948" width="1" style="15" customWidth="1"/>
    <col min="9949" max="9949" width="16.25" style="15" customWidth="1"/>
    <col min="9950" max="9950" width="18.625" style="15" customWidth="1"/>
    <col min="9951" max="9951" width="6" style="15" customWidth="1"/>
    <col min="9952" max="9952" width="15.875" style="15" customWidth="1"/>
    <col min="9953" max="9953" width="10.375" style="15" customWidth="1"/>
    <col min="9954" max="9954" width="32.125" style="15" customWidth="1"/>
    <col min="9955" max="9955" width="13.625" style="15" customWidth="1"/>
    <col min="9956" max="9956" width="7.125" style="15" customWidth="1"/>
    <col min="9957" max="9957" width="4.375" style="15" customWidth="1"/>
    <col min="9958" max="9960" width="9.375" style="15" customWidth="1"/>
    <col min="9961" max="10203" width="8" style="15"/>
    <col min="10204" max="10204" width="1" style="15" customWidth="1"/>
    <col min="10205" max="10205" width="16.25" style="15" customWidth="1"/>
    <col min="10206" max="10206" width="18.625" style="15" customWidth="1"/>
    <col min="10207" max="10207" width="6" style="15" customWidth="1"/>
    <col min="10208" max="10208" width="15.875" style="15" customWidth="1"/>
    <col min="10209" max="10209" width="10.375" style="15" customWidth="1"/>
    <col min="10210" max="10210" width="32.125" style="15" customWidth="1"/>
    <col min="10211" max="10211" width="13.625" style="15" customWidth="1"/>
    <col min="10212" max="10212" width="7.125" style="15" customWidth="1"/>
    <col min="10213" max="10213" width="4.375" style="15" customWidth="1"/>
    <col min="10214" max="10216" width="9.375" style="15" customWidth="1"/>
    <col min="10217" max="10459" width="9" style="15"/>
    <col min="10460" max="10460" width="1" style="15" customWidth="1"/>
    <col min="10461" max="10461" width="16.25" style="15" customWidth="1"/>
    <col min="10462" max="10462" width="18.625" style="15" customWidth="1"/>
    <col min="10463" max="10463" width="6" style="15" customWidth="1"/>
    <col min="10464" max="10464" width="15.875" style="15" customWidth="1"/>
    <col min="10465" max="10465" width="10.375" style="15" customWidth="1"/>
    <col min="10466" max="10466" width="32.125" style="15" customWidth="1"/>
    <col min="10467" max="10467" width="13.625" style="15" customWidth="1"/>
    <col min="10468" max="10468" width="7.125" style="15" customWidth="1"/>
    <col min="10469" max="10469" width="4.375" style="15" customWidth="1"/>
    <col min="10470" max="10472" width="9.375" style="15" customWidth="1"/>
    <col min="10473" max="10715" width="8" style="15"/>
    <col min="10716" max="10716" width="1" style="15" customWidth="1"/>
    <col min="10717" max="10717" width="16.25" style="15" customWidth="1"/>
    <col min="10718" max="10718" width="18.625" style="15" customWidth="1"/>
    <col min="10719" max="10719" width="6" style="15" customWidth="1"/>
    <col min="10720" max="10720" width="15.875" style="15" customWidth="1"/>
    <col min="10721" max="10721" width="10.375" style="15" customWidth="1"/>
    <col min="10722" max="10722" width="32.125" style="15" customWidth="1"/>
    <col min="10723" max="10723" width="13.625" style="15" customWidth="1"/>
    <col min="10724" max="10724" width="7.125" style="15" customWidth="1"/>
    <col min="10725" max="10725" width="4.375" style="15" customWidth="1"/>
    <col min="10726" max="10728" width="9.375" style="15" customWidth="1"/>
    <col min="10729" max="10971" width="8" style="15"/>
    <col min="10972" max="10972" width="1" style="15" customWidth="1"/>
    <col min="10973" max="10973" width="16.25" style="15" customWidth="1"/>
    <col min="10974" max="10974" width="18.625" style="15" customWidth="1"/>
    <col min="10975" max="10975" width="6" style="15" customWidth="1"/>
    <col min="10976" max="10976" width="15.875" style="15" customWidth="1"/>
    <col min="10977" max="10977" width="10.375" style="15" customWidth="1"/>
    <col min="10978" max="10978" width="32.125" style="15" customWidth="1"/>
    <col min="10979" max="10979" width="13.625" style="15" customWidth="1"/>
    <col min="10980" max="10980" width="7.125" style="15" customWidth="1"/>
    <col min="10981" max="10981" width="4.375" style="15" customWidth="1"/>
    <col min="10982" max="10984" width="9.375" style="15" customWidth="1"/>
    <col min="10985" max="11227" width="8" style="15"/>
    <col min="11228" max="11228" width="1" style="15" customWidth="1"/>
    <col min="11229" max="11229" width="16.25" style="15" customWidth="1"/>
    <col min="11230" max="11230" width="18.625" style="15" customWidth="1"/>
    <col min="11231" max="11231" width="6" style="15" customWidth="1"/>
    <col min="11232" max="11232" width="15.875" style="15" customWidth="1"/>
    <col min="11233" max="11233" width="10.375" style="15" customWidth="1"/>
    <col min="11234" max="11234" width="32.125" style="15" customWidth="1"/>
    <col min="11235" max="11235" width="13.625" style="15" customWidth="1"/>
    <col min="11236" max="11236" width="7.125" style="15" customWidth="1"/>
    <col min="11237" max="11237" width="4.375" style="15" customWidth="1"/>
    <col min="11238" max="11240" width="9.375" style="15" customWidth="1"/>
    <col min="11241" max="11483" width="9" style="15"/>
    <col min="11484" max="11484" width="1" style="15" customWidth="1"/>
    <col min="11485" max="11485" width="16.25" style="15" customWidth="1"/>
    <col min="11486" max="11486" width="18.625" style="15" customWidth="1"/>
    <col min="11487" max="11487" width="6" style="15" customWidth="1"/>
    <col min="11488" max="11488" width="15.875" style="15" customWidth="1"/>
    <col min="11489" max="11489" width="10.375" style="15" customWidth="1"/>
    <col min="11490" max="11490" width="32.125" style="15" customWidth="1"/>
    <col min="11491" max="11491" width="13.625" style="15" customWidth="1"/>
    <col min="11492" max="11492" width="7.125" style="15" customWidth="1"/>
    <col min="11493" max="11493" width="4.375" style="15" customWidth="1"/>
    <col min="11494" max="11496" width="9.375" style="15" customWidth="1"/>
    <col min="11497" max="11739" width="8" style="15"/>
    <col min="11740" max="11740" width="1" style="15" customWidth="1"/>
    <col min="11741" max="11741" width="16.25" style="15" customWidth="1"/>
    <col min="11742" max="11742" width="18.625" style="15" customWidth="1"/>
    <col min="11743" max="11743" width="6" style="15" customWidth="1"/>
    <col min="11744" max="11744" width="15.875" style="15" customWidth="1"/>
    <col min="11745" max="11745" width="10.375" style="15" customWidth="1"/>
    <col min="11746" max="11746" width="32.125" style="15" customWidth="1"/>
    <col min="11747" max="11747" width="13.625" style="15" customWidth="1"/>
    <col min="11748" max="11748" width="7.125" style="15" customWidth="1"/>
    <col min="11749" max="11749" width="4.375" style="15" customWidth="1"/>
    <col min="11750" max="11752" width="9.375" style="15" customWidth="1"/>
    <col min="11753" max="11995" width="8" style="15"/>
    <col min="11996" max="11996" width="1" style="15" customWidth="1"/>
    <col min="11997" max="11997" width="16.25" style="15" customWidth="1"/>
    <col min="11998" max="11998" width="18.625" style="15" customWidth="1"/>
    <col min="11999" max="11999" width="6" style="15" customWidth="1"/>
    <col min="12000" max="12000" width="15.875" style="15" customWidth="1"/>
    <col min="12001" max="12001" width="10.375" style="15" customWidth="1"/>
    <col min="12002" max="12002" width="32.125" style="15" customWidth="1"/>
    <col min="12003" max="12003" width="13.625" style="15" customWidth="1"/>
    <col min="12004" max="12004" width="7.125" style="15" customWidth="1"/>
    <col min="12005" max="12005" width="4.375" style="15" customWidth="1"/>
    <col min="12006" max="12008" width="9.375" style="15" customWidth="1"/>
    <col min="12009" max="12251" width="8" style="15"/>
    <col min="12252" max="12252" width="1" style="15" customWidth="1"/>
    <col min="12253" max="12253" width="16.25" style="15" customWidth="1"/>
    <col min="12254" max="12254" width="18.625" style="15" customWidth="1"/>
    <col min="12255" max="12255" width="6" style="15" customWidth="1"/>
    <col min="12256" max="12256" width="15.875" style="15" customWidth="1"/>
    <col min="12257" max="12257" width="10.375" style="15" customWidth="1"/>
    <col min="12258" max="12258" width="32.125" style="15" customWidth="1"/>
    <col min="12259" max="12259" width="13.625" style="15" customWidth="1"/>
    <col min="12260" max="12260" width="7.125" style="15" customWidth="1"/>
    <col min="12261" max="12261" width="4.375" style="15" customWidth="1"/>
    <col min="12262" max="12264" width="9.375" style="15" customWidth="1"/>
    <col min="12265" max="12507" width="9" style="15"/>
    <col min="12508" max="12508" width="1" style="15" customWidth="1"/>
    <col min="12509" max="12509" width="16.25" style="15" customWidth="1"/>
    <col min="12510" max="12510" width="18.625" style="15" customWidth="1"/>
    <col min="12511" max="12511" width="6" style="15" customWidth="1"/>
    <col min="12512" max="12512" width="15.875" style="15" customWidth="1"/>
    <col min="12513" max="12513" width="10.375" style="15" customWidth="1"/>
    <col min="12514" max="12514" width="32.125" style="15" customWidth="1"/>
    <col min="12515" max="12515" width="13.625" style="15" customWidth="1"/>
    <col min="12516" max="12516" width="7.125" style="15" customWidth="1"/>
    <col min="12517" max="12517" width="4.375" style="15" customWidth="1"/>
    <col min="12518" max="12520" width="9.375" style="15" customWidth="1"/>
    <col min="12521" max="12763" width="8" style="15"/>
    <col min="12764" max="12764" width="1" style="15" customWidth="1"/>
    <col min="12765" max="12765" width="16.25" style="15" customWidth="1"/>
    <col min="12766" max="12766" width="18.625" style="15" customWidth="1"/>
    <col min="12767" max="12767" width="6" style="15" customWidth="1"/>
    <col min="12768" max="12768" width="15.875" style="15" customWidth="1"/>
    <col min="12769" max="12769" width="10.375" style="15" customWidth="1"/>
    <col min="12770" max="12770" width="32.125" style="15" customWidth="1"/>
    <col min="12771" max="12771" width="13.625" style="15" customWidth="1"/>
    <col min="12772" max="12772" width="7.125" style="15" customWidth="1"/>
    <col min="12773" max="12773" width="4.375" style="15" customWidth="1"/>
    <col min="12774" max="12776" width="9.375" style="15" customWidth="1"/>
    <col min="12777" max="13019" width="8" style="15"/>
    <col min="13020" max="13020" width="1" style="15" customWidth="1"/>
    <col min="13021" max="13021" width="16.25" style="15" customWidth="1"/>
    <col min="13022" max="13022" width="18.625" style="15" customWidth="1"/>
    <col min="13023" max="13023" width="6" style="15" customWidth="1"/>
    <col min="13024" max="13024" width="15.875" style="15" customWidth="1"/>
    <col min="13025" max="13025" width="10.375" style="15" customWidth="1"/>
    <col min="13026" max="13026" width="32.125" style="15" customWidth="1"/>
    <col min="13027" max="13027" width="13.625" style="15" customWidth="1"/>
    <col min="13028" max="13028" width="7.125" style="15" customWidth="1"/>
    <col min="13029" max="13029" width="4.375" style="15" customWidth="1"/>
    <col min="13030" max="13032" width="9.375" style="15" customWidth="1"/>
    <col min="13033" max="13275" width="8" style="15"/>
    <col min="13276" max="13276" width="1" style="15" customWidth="1"/>
    <col min="13277" max="13277" width="16.25" style="15" customWidth="1"/>
    <col min="13278" max="13278" width="18.625" style="15" customWidth="1"/>
    <col min="13279" max="13279" width="6" style="15" customWidth="1"/>
    <col min="13280" max="13280" width="15.875" style="15" customWidth="1"/>
    <col min="13281" max="13281" width="10.375" style="15" customWidth="1"/>
    <col min="13282" max="13282" width="32.125" style="15" customWidth="1"/>
    <col min="13283" max="13283" width="13.625" style="15" customWidth="1"/>
    <col min="13284" max="13284" width="7.125" style="15" customWidth="1"/>
    <col min="13285" max="13285" width="4.375" style="15" customWidth="1"/>
    <col min="13286" max="13288" width="9.375" style="15" customWidth="1"/>
    <col min="13289" max="13531" width="9" style="15"/>
    <col min="13532" max="13532" width="1" style="15" customWidth="1"/>
    <col min="13533" max="13533" width="16.25" style="15" customWidth="1"/>
    <col min="13534" max="13534" width="18.625" style="15" customWidth="1"/>
    <col min="13535" max="13535" width="6" style="15" customWidth="1"/>
    <col min="13536" max="13536" width="15.875" style="15" customWidth="1"/>
    <col min="13537" max="13537" width="10.375" style="15" customWidth="1"/>
    <col min="13538" max="13538" width="32.125" style="15" customWidth="1"/>
    <col min="13539" max="13539" width="13.625" style="15" customWidth="1"/>
    <col min="13540" max="13540" width="7.125" style="15" customWidth="1"/>
    <col min="13541" max="13541" width="4.375" style="15" customWidth="1"/>
    <col min="13542" max="13544" width="9.375" style="15" customWidth="1"/>
    <col min="13545" max="13787" width="8" style="15"/>
    <col min="13788" max="13788" width="1" style="15" customWidth="1"/>
    <col min="13789" max="13789" width="16.25" style="15" customWidth="1"/>
    <col min="13790" max="13790" width="18.625" style="15" customWidth="1"/>
    <col min="13791" max="13791" width="6" style="15" customWidth="1"/>
    <col min="13792" max="13792" width="15.875" style="15" customWidth="1"/>
    <col min="13793" max="13793" width="10.375" style="15" customWidth="1"/>
    <col min="13794" max="13794" width="32.125" style="15" customWidth="1"/>
    <col min="13795" max="13795" width="13.625" style="15" customWidth="1"/>
    <col min="13796" max="13796" width="7.125" style="15" customWidth="1"/>
    <col min="13797" max="13797" width="4.375" style="15" customWidth="1"/>
    <col min="13798" max="13800" width="9.375" style="15" customWidth="1"/>
    <col min="13801" max="14043" width="8" style="15"/>
    <col min="14044" max="14044" width="1" style="15" customWidth="1"/>
    <col min="14045" max="14045" width="16.25" style="15" customWidth="1"/>
    <col min="14046" max="14046" width="18.625" style="15" customWidth="1"/>
    <col min="14047" max="14047" width="6" style="15" customWidth="1"/>
    <col min="14048" max="14048" width="15.875" style="15" customWidth="1"/>
    <col min="14049" max="14049" width="10.375" style="15" customWidth="1"/>
    <col min="14050" max="14050" width="32.125" style="15" customWidth="1"/>
    <col min="14051" max="14051" width="13.625" style="15" customWidth="1"/>
    <col min="14052" max="14052" width="7.125" style="15" customWidth="1"/>
    <col min="14053" max="14053" width="4.375" style="15" customWidth="1"/>
    <col min="14054" max="14056" width="9.375" style="15" customWidth="1"/>
    <col min="14057" max="14299" width="8" style="15"/>
    <col min="14300" max="14300" width="1" style="15" customWidth="1"/>
    <col min="14301" max="14301" width="16.25" style="15" customWidth="1"/>
    <col min="14302" max="14302" width="18.625" style="15" customWidth="1"/>
    <col min="14303" max="14303" width="6" style="15" customWidth="1"/>
    <col min="14304" max="14304" width="15.875" style="15" customWidth="1"/>
    <col min="14305" max="14305" width="10.375" style="15" customWidth="1"/>
    <col min="14306" max="14306" width="32.125" style="15" customWidth="1"/>
    <col min="14307" max="14307" width="13.625" style="15" customWidth="1"/>
    <col min="14308" max="14308" width="7.125" style="15" customWidth="1"/>
    <col min="14309" max="14309" width="4.375" style="15" customWidth="1"/>
    <col min="14310" max="14312" width="9.375" style="15" customWidth="1"/>
    <col min="14313" max="14555" width="9" style="15"/>
    <col min="14556" max="14556" width="1" style="15" customWidth="1"/>
    <col min="14557" max="14557" width="16.25" style="15" customWidth="1"/>
    <col min="14558" max="14558" width="18.625" style="15" customWidth="1"/>
    <col min="14559" max="14559" width="6" style="15" customWidth="1"/>
    <col min="14560" max="14560" width="15.875" style="15" customWidth="1"/>
    <col min="14561" max="14561" width="10.375" style="15" customWidth="1"/>
    <col min="14562" max="14562" width="32.125" style="15" customWidth="1"/>
    <col min="14563" max="14563" width="13.625" style="15" customWidth="1"/>
    <col min="14564" max="14564" width="7.125" style="15" customWidth="1"/>
    <col min="14565" max="14565" width="4.375" style="15" customWidth="1"/>
    <col min="14566" max="14568" width="9.375" style="15" customWidth="1"/>
    <col min="14569" max="14811" width="8" style="15"/>
    <col min="14812" max="14812" width="1" style="15" customWidth="1"/>
    <col min="14813" max="14813" width="16.25" style="15" customWidth="1"/>
    <col min="14814" max="14814" width="18.625" style="15" customWidth="1"/>
    <col min="14815" max="14815" width="6" style="15" customWidth="1"/>
    <col min="14816" max="14816" width="15.875" style="15" customWidth="1"/>
    <col min="14817" max="14817" width="10.375" style="15" customWidth="1"/>
    <col min="14818" max="14818" width="32.125" style="15" customWidth="1"/>
    <col min="14819" max="14819" width="13.625" style="15" customWidth="1"/>
    <col min="14820" max="14820" width="7.125" style="15" customWidth="1"/>
    <col min="14821" max="14821" width="4.375" style="15" customWidth="1"/>
    <col min="14822" max="14824" width="9.375" style="15" customWidth="1"/>
    <col min="14825" max="15067" width="8" style="15"/>
    <col min="15068" max="15068" width="1" style="15" customWidth="1"/>
    <col min="15069" max="15069" width="16.25" style="15" customWidth="1"/>
    <col min="15070" max="15070" width="18.625" style="15" customWidth="1"/>
    <col min="15071" max="15071" width="6" style="15" customWidth="1"/>
    <col min="15072" max="15072" width="15.875" style="15" customWidth="1"/>
    <col min="15073" max="15073" width="10.375" style="15" customWidth="1"/>
    <col min="15074" max="15074" width="32.125" style="15" customWidth="1"/>
    <col min="15075" max="15075" width="13.625" style="15" customWidth="1"/>
    <col min="15076" max="15076" width="7.125" style="15" customWidth="1"/>
    <col min="15077" max="15077" width="4.375" style="15" customWidth="1"/>
    <col min="15078" max="15080" width="9.375" style="15" customWidth="1"/>
    <col min="15081" max="15323" width="8" style="15"/>
    <col min="15324" max="15324" width="1" style="15" customWidth="1"/>
    <col min="15325" max="15325" width="16.25" style="15" customWidth="1"/>
    <col min="15326" max="15326" width="18.625" style="15" customWidth="1"/>
    <col min="15327" max="15327" width="6" style="15" customWidth="1"/>
    <col min="15328" max="15328" width="15.875" style="15" customWidth="1"/>
    <col min="15329" max="15329" width="10.375" style="15" customWidth="1"/>
    <col min="15330" max="15330" width="32.125" style="15" customWidth="1"/>
    <col min="15331" max="15331" width="13.625" style="15" customWidth="1"/>
    <col min="15332" max="15332" width="7.125" style="15" customWidth="1"/>
    <col min="15333" max="15333" width="4.375" style="15" customWidth="1"/>
    <col min="15334" max="15336" width="9.375" style="15" customWidth="1"/>
    <col min="15337" max="15579" width="9" style="15"/>
    <col min="15580" max="15580" width="1" style="15" customWidth="1"/>
    <col min="15581" max="15581" width="16.25" style="15" customWidth="1"/>
    <col min="15582" max="15582" width="18.625" style="15" customWidth="1"/>
    <col min="15583" max="15583" width="6" style="15" customWidth="1"/>
    <col min="15584" max="15584" width="15.875" style="15" customWidth="1"/>
    <col min="15585" max="15585" width="10.375" style="15" customWidth="1"/>
    <col min="15586" max="15586" width="32.125" style="15" customWidth="1"/>
    <col min="15587" max="15587" width="13.625" style="15" customWidth="1"/>
    <col min="15588" max="15588" width="7.125" style="15" customWidth="1"/>
    <col min="15589" max="15589" width="4.375" style="15" customWidth="1"/>
    <col min="15590" max="15592" width="9.375" style="15" customWidth="1"/>
    <col min="15593" max="15835" width="8" style="15"/>
    <col min="15836" max="15836" width="1" style="15" customWidth="1"/>
    <col min="15837" max="15837" width="16.25" style="15" customWidth="1"/>
    <col min="15838" max="15838" width="18.625" style="15" customWidth="1"/>
    <col min="15839" max="15839" width="6" style="15" customWidth="1"/>
    <col min="15840" max="15840" width="15.875" style="15" customWidth="1"/>
    <col min="15841" max="15841" width="10.375" style="15" customWidth="1"/>
    <col min="15842" max="15842" width="32.125" style="15" customWidth="1"/>
    <col min="15843" max="15843" width="13.625" style="15" customWidth="1"/>
    <col min="15844" max="15844" width="7.125" style="15" customWidth="1"/>
    <col min="15845" max="15845" width="4.375" style="15" customWidth="1"/>
    <col min="15846" max="15848" width="9.375" style="15" customWidth="1"/>
    <col min="15849" max="16091" width="8" style="15"/>
    <col min="16092" max="16092" width="1" style="15" customWidth="1"/>
    <col min="16093" max="16093" width="16.25" style="15" customWidth="1"/>
    <col min="16094" max="16094" width="18.625" style="15" customWidth="1"/>
    <col min="16095" max="16095" width="6" style="15" customWidth="1"/>
    <col min="16096" max="16096" width="15.875" style="15" customWidth="1"/>
    <col min="16097" max="16097" width="10.375" style="15" customWidth="1"/>
    <col min="16098" max="16098" width="32.125" style="15" customWidth="1"/>
    <col min="16099" max="16099" width="13.625" style="15" customWidth="1"/>
    <col min="16100" max="16100" width="7.125" style="15" customWidth="1"/>
    <col min="16101" max="16101" width="4.375" style="15" customWidth="1"/>
    <col min="16102" max="16104" width="9.375" style="15" customWidth="1"/>
    <col min="16105" max="16384" width="9" style="15"/>
  </cols>
  <sheetData>
    <row r="1" spans="2:21" ht="69" customHeight="1" x14ac:dyDescent="0.25">
      <c r="H1" s="355" t="s">
        <v>196</v>
      </c>
      <c r="M1" s="356"/>
      <c r="N1" s="356" t="s">
        <v>193</v>
      </c>
    </row>
    <row r="2" spans="2:21" s="5" customFormat="1" ht="30" customHeight="1" x14ac:dyDescent="0.25">
      <c r="C2" s="42" t="s">
        <v>7</v>
      </c>
      <c r="D2" s="411" t="str">
        <f>'0.Claimant Home Page'!F4</f>
        <v>Municipality of Gold Standard</v>
      </c>
      <c r="E2" s="411"/>
      <c r="F2" s="411"/>
      <c r="G2"/>
      <c r="H2" s="3"/>
      <c r="J2" s="4"/>
      <c r="K2" s="4"/>
      <c r="U2" s="15" t="s">
        <v>21</v>
      </c>
    </row>
    <row r="3" spans="2:21" s="5" customFormat="1" ht="40.5" customHeight="1" thickBot="1" x14ac:dyDescent="0.3">
      <c r="C3" s="26" t="s">
        <v>56</v>
      </c>
      <c r="D3" s="415" t="s">
        <v>184</v>
      </c>
      <c r="E3" s="415"/>
      <c r="F3" s="415"/>
      <c r="G3" s="415"/>
      <c r="H3" s="415"/>
      <c r="I3" s="415"/>
      <c r="J3" s="415"/>
      <c r="K3" s="415"/>
      <c r="L3" s="415"/>
      <c r="M3" s="415"/>
      <c r="N3" s="415"/>
      <c r="U3" s="5" t="s">
        <v>33</v>
      </c>
    </row>
    <row r="4" spans="2:21" s="38" customFormat="1" ht="13.15" hidden="1" x14ac:dyDescent="0.25">
      <c r="C4" s="38" t="s">
        <v>21</v>
      </c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2:21" s="38" customFormat="1" ht="13.15" hidden="1" x14ac:dyDescent="0.25">
      <c r="C5" s="38" t="s">
        <v>33</v>
      </c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</row>
    <row r="6" spans="2:21" s="38" customFormat="1" ht="13.15" hidden="1" x14ac:dyDescent="0.25">
      <c r="C6" s="38" t="s">
        <v>37</v>
      </c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</row>
    <row r="7" spans="2:21" s="5" customFormat="1" ht="9" hidden="1" customHeight="1" thickBot="1" x14ac:dyDescent="0.3">
      <c r="C7" s="38" t="s">
        <v>26</v>
      </c>
      <c r="D7" s="49"/>
      <c r="E7" s="49"/>
      <c r="F7" s="49"/>
    </row>
    <row r="8" spans="2:21" ht="36.75" customHeight="1" x14ac:dyDescent="0.25">
      <c r="H8" s="417" t="s">
        <v>42</v>
      </c>
      <c r="I8" s="418"/>
      <c r="J8" s="418"/>
      <c r="K8" s="328" t="s">
        <v>93</v>
      </c>
    </row>
    <row r="9" spans="2:21" s="5" customFormat="1" ht="57.75" customHeight="1" x14ac:dyDescent="0.25">
      <c r="C9" s="339" t="s">
        <v>48</v>
      </c>
      <c r="D9" s="340" t="s">
        <v>49</v>
      </c>
      <c r="E9" s="340" t="s">
        <v>135</v>
      </c>
      <c r="F9" s="339" t="s">
        <v>136</v>
      </c>
      <c r="G9" s="340" t="s">
        <v>66</v>
      </c>
      <c r="H9" s="341" t="s">
        <v>50</v>
      </c>
      <c r="I9" s="342" t="s">
        <v>51</v>
      </c>
      <c r="J9" s="343" t="s">
        <v>133</v>
      </c>
      <c r="K9" s="344" t="s">
        <v>117</v>
      </c>
      <c r="L9" s="345" t="s">
        <v>40</v>
      </c>
      <c r="M9" s="346" t="s">
        <v>39</v>
      </c>
      <c r="N9" s="340" t="s">
        <v>29</v>
      </c>
      <c r="O9" s="7"/>
      <c r="P9" s="7"/>
      <c r="Q9" s="7"/>
      <c r="R9" s="7"/>
      <c r="S9" s="7"/>
      <c r="T9" s="9"/>
    </row>
    <row r="10" spans="2:21" s="5" customFormat="1" ht="38.25" customHeight="1" x14ac:dyDescent="0.2">
      <c r="B10" s="416" t="s">
        <v>20</v>
      </c>
      <c r="C10" s="329" t="s">
        <v>82</v>
      </c>
      <c r="D10" s="330" t="s">
        <v>33</v>
      </c>
      <c r="E10" s="331">
        <v>42772</v>
      </c>
      <c r="F10" s="331">
        <v>42772</v>
      </c>
      <c r="G10" s="332" t="s">
        <v>126</v>
      </c>
      <c r="H10" s="333">
        <v>6</v>
      </c>
      <c r="I10" s="334">
        <v>45</v>
      </c>
      <c r="J10" s="335">
        <v>270</v>
      </c>
      <c r="K10" s="336" t="s">
        <v>53</v>
      </c>
      <c r="L10" s="337" t="s">
        <v>54</v>
      </c>
      <c r="M10" s="338">
        <v>27</v>
      </c>
      <c r="N10" s="166">
        <v>288</v>
      </c>
    </row>
    <row r="11" spans="2:21" s="5" customFormat="1" ht="38.25" x14ac:dyDescent="0.2">
      <c r="B11" s="416"/>
      <c r="C11" s="183" t="s">
        <v>84</v>
      </c>
      <c r="D11" s="184" t="s">
        <v>26</v>
      </c>
      <c r="E11" s="312">
        <v>44369</v>
      </c>
      <c r="F11" s="312">
        <v>44392</v>
      </c>
      <c r="G11" s="185" t="s">
        <v>147</v>
      </c>
      <c r="H11" s="186"/>
      <c r="I11" s="187"/>
      <c r="J11" s="146" t="s">
        <v>201</v>
      </c>
      <c r="K11" s="188">
        <v>950</v>
      </c>
      <c r="L11" s="189" t="s">
        <v>116</v>
      </c>
      <c r="M11" s="190">
        <v>801</v>
      </c>
      <c r="N11" s="191">
        <v>1007</v>
      </c>
    </row>
    <row r="12" spans="2:21" s="5" customFormat="1" ht="51" hidden="1" x14ac:dyDescent="0.2">
      <c r="C12" s="192" t="s">
        <v>5</v>
      </c>
      <c r="D12" s="175" t="s">
        <v>32</v>
      </c>
      <c r="E12" s="175" t="s">
        <v>105</v>
      </c>
      <c r="F12" s="193" t="s">
        <v>106</v>
      </c>
      <c r="G12" s="175" t="s">
        <v>3</v>
      </c>
      <c r="H12" s="22" t="s">
        <v>34</v>
      </c>
      <c r="I12" s="23" t="s">
        <v>35</v>
      </c>
      <c r="J12" s="147" t="s">
        <v>36</v>
      </c>
      <c r="K12" s="194" t="s">
        <v>38</v>
      </c>
      <c r="L12" s="195" t="s">
        <v>40</v>
      </c>
      <c r="M12" s="196" t="s">
        <v>18</v>
      </c>
      <c r="N12" s="175" t="s">
        <v>29</v>
      </c>
    </row>
    <row r="13" spans="2:21" s="5" customFormat="1" ht="12.75" x14ac:dyDescent="0.2">
      <c r="C13" s="197" t="s">
        <v>209</v>
      </c>
      <c r="D13" s="198" t="s">
        <v>33</v>
      </c>
      <c r="E13" s="157">
        <v>43094</v>
      </c>
      <c r="F13" s="158">
        <v>43095</v>
      </c>
      <c r="G13" s="91" t="s">
        <v>203</v>
      </c>
      <c r="H13" s="202">
        <v>10</v>
      </c>
      <c r="I13" s="199">
        <v>500</v>
      </c>
      <c r="J13" s="203">
        <f>IF(D13="R",EmplOperating[[#This Row],[OT Hours Worked (Regular Only)]]*EmplOperating[[#This Row],[Overtime Hourly Wage (Regular Only)]],"R Only")</f>
        <v>5000</v>
      </c>
      <c r="K13" s="205"/>
      <c r="L13" s="199"/>
      <c r="M13" s="350" t="s">
        <v>210</v>
      </c>
      <c r="N1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5000</v>
      </c>
    </row>
    <row r="14" spans="2:21" s="5" customFormat="1" ht="12.75" x14ac:dyDescent="0.2">
      <c r="C14" s="200"/>
      <c r="D14" s="198" t="s">
        <v>21</v>
      </c>
      <c r="E14" s="240"/>
      <c r="F14" s="240"/>
      <c r="G14" s="201"/>
      <c r="H14" s="202"/>
      <c r="I14" s="199"/>
      <c r="J14" s="203" t="str">
        <f>IF(D14="R",EmplOperating[[#This Row],[OT Hours Worked (Regular Only)]]*EmplOperating[[#This Row],[Overtime Hourly Wage (Regular Only)]],"R Only")</f>
        <v>R Only</v>
      </c>
      <c r="K14" s="205"/>
      <c r="L14" s="199"/>
      <c r="M14" s="350"/>
      <c r="N1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5" spans="2:21" s="5" customFormat="1" ht="12.75" x14ac:dyDescent="0.2">
      <c r="C15" s="200"/>
      <c r="D15" s="198" t="s">
        <v>21</v>
      </c>
      <c r="E15" s="240"/>
      <c r="F15" s="240"/>
      <c r="G15" s="201"/>
      <c r="H15" s="202"/>
      <c r="I15" s="199"/>
      <c r="J15" s="204" t="str">
        <f>IF(D15="R",EmplOperating[[#This Row],[OT Hours Worked (Regular Only)]]*EmplOperating[[#This Row],[Overtime Hourly Wage (Regular Only)]],"R Only")</f>
        <v>R Only</v>
      </c>
      <c r="K15" s="205"/>
      <c r="L15" s="199"/>
      <c r="M15" s="350"/>
      <c r="N1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6" spans="2:21" s="5" customFormat="1" ht="12.75" x14ac:dyDescent="0.2">
      <c r="C16" s="200"/>
      <c r="D16" s="198" t="s">
        <v>21</v>
      </c>
      <c r="E16" s="240"/>
      <c r="F16" s="240"/>
      <c r="G16" s="201"/>
      <c r="H16" s="202"/>
      <c r="I16" s="199"/>
      <c r="J16" s="204" t="str">
        <f>IF(D16="R",EmplOperating[[#This Row],[OT Hours Worked (Regular Only)]]*EmplOperating[[#This Row],[Overtime Hourly Wage (Regular Only)]],"R Only")</f>
        <v>R Only</v>
      </c>
      <c r="K16" s="205"/>
      <c r="L16" s="199"/>
      <c r="M16" s="350"/>
      <c r="N1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7" spans="3:15" s="5" customFormat="1" ht="12.75" x14ac:dyDescent="0.2">
      <c r="C17" s="200"/>
      <c r="D17" s="198" t="s">
        <v>21</v>
      </c>
      <c r="E17" s="240"/>
      <c r="F17" s="240"/>
      <c r="G17" s="201"/>
      <c r="H17" s="202"/>
      <c r="I17" s="199"/>
      <c r="J17" s="204" t="str">
        <f>IF(D17="R",EmplOperating[[#This Row],[OT Hours Worked (Regular Only)]]*EmplOperating[[#This Row],[Overtime Hourly Wage (Regular Only)]],"R Only")</f>
        <v>R Only</v>
      </c>
      <c r="K17" s="205"/>
      <c r="L17" s="199"/>
      <c r="M17" s="350"/>
      <c r="N1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8" spans="3:15" s="5" customFormat="1" ht="12.75" x14ac:dyDescent="0.2">
      <c r="C18" s="200"/>
      <c r="D18" s="198" t="s">
        <v>21</v>
      </c>
      <c r="E18" s="240"/>
      <c r="F18" s="240"/>
      <c r="G18" s="201"/>
      <c r="H18" s="202"/>
      <c r="I18" s="199"/>
      <c r="J18" s="204" t="str">
        <f>IF(D18="R",EmplOperating[[#This Row],[OT Hours Worked (Regular Only)]]*EmplOperating[[#This Row],[Overtime Hourly Wage (Regular Only)]],"R Only")</f>
        <v>R Only</v>
      </c>
      <c r="K18" s="205"/>
      <c r="L18" s="199"/>
      <c r="M18" s="350"/>
      <c r="N1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19" spans="3:15" s="5" customFormat="1" ht="12.75" x14ac:dyDescent="0.2">
      <c r="C19" s="200"/>
      <c r="D19" s="198" t="s">
        <v>21</v>
      </c>
      <c r="E19" s="240"/>
      <c r="F19" s="240"/>
      <c r="G19" s="201"/>
      <c r="H19" s="202"/>
      <c r="I19" s="199"/>
      <c r="J19" s="204" t="str">
        <f>IF(D19="R",EmplOperating[[#This Row],[OT Hours Worked (Regular Only)]]*EmplOperating[[#This Row],[Overtime Hourly Wage (Regular Only)]],"R Only")</f>
        <v>R Only</v>
      </c>
      <c r="K19" s="205"/>
      <c r="L19" s="199"/>
      <c r="M19" s="350"/>
      <c r="N1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0" spans="3:15" s="5" customFormat="1" ht="12.75" x14ac:dyDescent="0.2">
      <c r="C20" s="200"/>
      <c r="D20" s="198" t="s">
        <v>21</v>
      </c>
      <c r="E20" s="240"/>
      <c r="F20" s="240"/>
      <c r="G20" s="201"/>
      <c r="H20" s="202"/>
      <c r="I20" s="199"/>
      <c r="J20" s="204" t="str">
        <f>IF(D20="R",EmplOperating[[#This Row],[OT Hours Worked (Regular Only)]]*EmplOperating[[#This Row],[Overtime Hourly Wage (Regular Only)]],"R Only")</f>
        <v>R Only</v>
      </c>
      <c r="K20" s="205"/>
      <c r="L20" s="199"/>
      <c r="M20" s="350"/>
      <c r="N2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1" spans="3:15" s="5" customFormat="1" ht="12.75" x14ac:dyDescent="0.2">
      <c r="C21" s="200"/>
      <c r="D21" s="198" t="s">
        <v>21</v>
      </c>
      <c r="E21" s="240"/>
      <c r="F21" s="240"/>
      <c r="G21" s="201"/>
      <c r="H21" s="202"/>
      <c r="I21" s="199"/>
      <c r="J21" s="204" t="str">
        <f>IF(D21="R",EmplOperating[[#This Row],[OT Hours Worked (Regular Only)]]*EmplOperating[[#This Row],[Overtime Hourly Wage (Regular Only)]],"R Only")</f>
        <v>R Only</v>
      </c>
      <c r="K21" s="205"/>
      <c r="L21" s="199"/>
      <c r="M21" s="350"/>
      <c r="N2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2" spans="3:15" s="5" customFormat="1" ht="12.75" x14ac:dyDescent="0.2">
      <c r="C22" s="200"/>
      <c r="D22" s="198" t="s">
        <v>21</v>
      </c>
      <c r="E22" s="240"/>
      <c r="F22" s="240"/>
      <c r="G22" s="201"/>
      <c r="H22" s="202"/>
      <c r="I22" s="199"/>
      <c r="J22" s="204" t="str">
        <f>IF(D22="R",EmplOperating[[#This Row],[OT Hours Worked (Regular Only)]]*EmplOperating[[#This Row],[Overtime Hourly Wage (Regular Only)]],"R Only")</f>
        <v>R Only</v>
      </c>
      <c r="K22" s="205"/>
      <c r="L22" s="199"/>
      <c r="M22" s="350"/>
      <c r="N2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3" spans="3:15" s="5" customFormat="1" ht="12.75" x14ac:dyDescent="0.2">
      <c r="C23" s="200"/>
      <c r="D23" s="198" t="s">
        <v>21</v>
      </c>
      <c r="E23" s="240"/>
      <c r="F23" s="240"/>
      <c r="G23" s="201"/>
      <c r="H23" s="202"/>
      <c r="I23" s="199"/>
      <c r="J23" s="204" t="str">
        <f>IF(D23="R",EmplOperating[[#This Row],[OT Hours Worked (Regular Only)]]*EmplOperating[[#This Row],[Overtime Hourly Wage (Regular Only)]],"R Only")</f>
        <v>R Only</v>
      </c>
      <c r="K23" s="205"/>
      <c r="L23" s="199"/>
      <c r="M23" s="350"/>
      <c r="N2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4" spans="3:15" s="5" customFormat="1" ht="12.75" x14ac:dyDescent="0.2">
      <c r="C24" s="200"/>
      <c r="D24" s="198" t="s">
        <v>21</v>
      </c>
      <c r="E24" s="240"/>
      <c r="F24" s="240"/>
      <c r="G24" s="201"/>
      <c r="H24" s="202"/>
      <c r="I24" s="199"/>
      <c r="J24" s="204" t="str">
        <f>IF(D24="R",EmplOperating[[#This Row],[OT Hours Worked (Regular Only)]]*EmplOperating[[#This Row],[Overtime Hourly Wage (Regular Only)]],"R Only")</f>
        <v>R Only</v>
      </c>
      <c r="K24" s="205"/>
      <c r="L24" s="199"/>
      <c r="M24" s="350"/>
      <c r="N2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5" spans="3:15" s="5" customFormat="1" ht="12.75" x14ac:dyDescent="0.2">
      <c r="C25" s="200"/>
      <c r="D25" s="198" t="s">
        <v>21</v>
      </c>
      <c r="E25" s="240"/>
      <c r="F25" s="240"/>
      <c r="G25" s="201"/>
      <c r="H25" s="202"/>
      <c r="I25" s="199"/>
      <c r="J25" s="204" t="str">
        <f>IF(D25="R",EmplOperating[[#This Row],[OT Hours Worked (Regular Only)]]*EmplOperating[[#This Row],[Overtime Hourly Wage (Regular Only)]],"R Only")</f>
        <v>R Only</v>
      </c>
      <c r="K25" s="205"/>
      <c r="L25" s="199"/>
      <c r="M25" s="350"/>
      <c r="N2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6" spans="3:15" s="5" customFormat="1" ht="12.75" x14ac:dyDescent="0.2">
      <c r="C26" s="200"/>
      <c r="D26" s="198" t="s">
        <v>21</v>
      </c>
      <c r="E26" s="240"/>
      <c r="F26" s="240"/>
      <c r="G26" s="201"/>
      <c r="H26" s="202"/>
      <c r="I26" s="199"/>
      <c r="J26" s="204" t="str">
        <f>IF(D26="R",EmplOperating[[#This Row],[OT Hours Worked (Regular Only)]]*EmplOperating[[#This Row],[Overtime Hourly Wage (Regular Only)]],"R Only")</f>
        <v>R Only</v>
      </c>
      <c r="K26" s="205"/>
      <c r="L26" s="199"/>
      <c r="M26" s="350"/>
      <c r="N2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7" spans="3:15" s="5" customFormat="1" ht="12.75" x14ac:dyDescent="0.2">
      <c r="C27" s="200"/>
      <c r="D27" s="198" t="s">
        <v>21</v>
      </c>
      <c r="E27" s="240"/>
      <c r="F27" s="240"/>
      <c r="G27" s="201"/>
      <c r="H27" s="202"/>
      <c r="I27" s="199"/>
      <c r="J27" s="204" t="str">
        <f>IF(D27="R",EmplOperating[[#This Row],[OT Hours Worked (Regular Only)]]*EmplOperating[[#This Row],[Overtime Hourly Wage (Regular Only)]],"R Only")</f>
        <v>R Only</v>
      </c>
      <c r="K27" s="205"/>
      <c r="L27" s="199"/>
      <c r="M27" s="350"/>
      <c r="N2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8" spans="3:15" s="5" customFormat="1" ht="12.75" x14ac:dyDescent="0.2">
      <c r="C28" s="200"/>
      <c r="D28" s="198" t="s">
        <v>21</v>
      </c>
      <c r="E28" s="240"/>
      <c r="F28" s="240"/>
      <c r="G28" s="201"/>
      <c r="H28" s="202"/>
      <c r="I28" s="199"/>
      <c r="J28" s="204" t="str">
        <f>IF(D28="R",EmplOperating[[#This Row],[OT Hours Worked (Regular Only)]]*EmplOperating[[#This Row],[Overtime Hourly Wage (Regular Only)]],"R Only")</f>
        <v>R Only</v>
      </c>
      <c r="K28" s="205"/>
      <c r="L28" s="199"/>
      <c r="M28" s="350"/>
      <c r="N2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29" spans="3:15" s="5" customFormat="1" ht="12.75" x14ac:dyDescent="0.2">
      <c r="C29" s="200"/>
      <c r="D29" s="198" t="s">
        <v>21</v>
      </c>
      <c r="E29" s="240"/>
      <c r="F29" s="240"/>
      <c r="G29" s="201"/>
      <c r="H29" s="202"/>
      <c r="I29" s="199"/>
      <c r="J29" s="204" t="str">
        <f>IF(D29="R",EmplOperating[[#This Row],[OT Hours Worked (Regular Only)]]*EmplOperating[[#This Row],[Overtime Hourly Wage (Regular Only)]],"R Only")</f>
        <v>R Only</v>
      </c>
      <c r="K29" s="205"/>
      <c r="L29" s="199"/>
      <c r="M29" s="350"/>
      <c r="N29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0" spans="3:15" x14ac:dyDescent="0.2">
      <c r="C30" s="283"/>
      <c r="D30" s="198" t="s">
        <v>21</v>
      </c>
      <c r="E30" s="240"/>
      <c r="F30" s="240"/>
      <c r="G30" s="212"/>
      <c r="H30" s="202"/>
      <c r="I30" s="199"/>
      <c r="J30" s="204" t="str">
        <f>IF(D30="R",EmplOperating[[#This Row],[OT Hours Worked (Regular Only)]]*EmplOperating[[#This Row],[Overtime Hourly Wage (Regular Only)]],"R Only")</f>
        <v>R Only</v>
      </c>
      <c r="K30" s="205"/>
      <c r="L30" s="199"/>
      <c r="M30" s="350"/>
      <c r="N30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1" spans="3:15" x14ac:dyDescent="0.2">
      <c r="C31" s="283"/>
      <c r="D31" s="198" t="s">
        <v>21</v>
      </c>
      <c r="E31" s="240"/>
      <c r="F31" s="240"/>
      <c r="G31" s="212"/>
      <c r="H31" s="202"/>
      <c r="I31" s="199"/>
      <c r="J31" s="204" t="str">
        <f>IF(D31="R",EmplOperating[[#This Row],[OT Hours Worked (Regular Only)]]*EmplOperating[[#This Row],[Overtime Hourly Wage (Regular Only)]],"R Only")</f>
        <v>R Only</v>
      </c>
      <c r="K31" s="205"/>
      <c r="L31" s="199"/>
      <c r="M31" s="350"/>
      <c r="N31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1" s="5"/>
    </row>
    <row r="32" spans="3:15" x14ac:dyDescent="0.2">
      <c r="C32" s="283"/>
      <c r="D32" s="198" t="s">
        <v>21</v>
      </c>
      <c r="E32" s="240"/>
      <c r="F32" s="240"/>
      <c r="G32" s="212"/>
      <c r="H32" s="202"/>
      <c r="I32" s="199"/>
      <c r="J32" s="204" t="str">
        <f>IF(D32="R",EmplOperating[[#This Row],[OT Hours Worked (Regular Only)]]*EmplOperating[[#This Row],[Overtime Hourly Wage (Regular Only)]],"R Only")</f>
        <v>R Only</v>
      </c>
      <c r="K32" s="205"/>
      <c r="L32" s="199"/>
      <c r="M32" s="350"/>
      <c r="N32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  <c r="O32" s="5"/>
    </row>
    <row r="33" spans="3:14" x14ac:dyDescent="0.2">
      <c r="C33" s="283"/>
      <c r="D33" s="198" t="s">
        <v>21</v>
      </c>
      <c r="E33" s="240"/>
      <c r="F33" s="240"/>
      <c r="G33" s="212"/>
      <c r="H33" s="202"/>
      <c r="I33" s="199"/>
      <c r="J33" s="204" t="str">
        <f>IF(D33="R",EmplOperating[[#This Row],[OT Hours Worked (Regular Only)]]*EmplOperating[[#This Row],[Overtime Hourly Wage (Regular Only)]],"R Only")</f>
        <v>R Only</v>
      </c>
      <c r="K33" s="205"/>
      <c r="L33" s="199"/>
      <c r="M33" s="350"/>
      <c r="N33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4" spans="3:14" x14ac:dyDescent="0.2">
      <c r="C34" s="283"/>
      <c r="D34" s="198" t="s">
        <v>21</v>
      </c>
      <c r="E34" s="240"/>
      <c r="F34" s="240"/>
      <c r="G34" s="212"/>
      <c r="H34" s="202"/>
      <c r="I34" s="199"/>
      <c r="J34" s="204" t="str">
        <f>IF(D34="R",EmplOperating[[#This Row],[OT Hours Worked (Regular Only)]]*EmplOperating[[#This Row],[Overtime Hourly Wage (Regular Only)]],"R Only")</f>
        <v>R Only</v>
      </c>
      <c r="K34" s="205"/>
      <c r="L34" s="199"/>
      <c r="M34" s="350"/>
      <c r="N34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5" spans="3:14" x14ac:dyDescent="0.2">
      <c r="C35" s="283"/>
      <c r="D35" s="198" t="s">
        <v>21</v>
      </c>
      <c r="E35" s="240"/>
      <c r="F35" s="240"/>
      <c r="G35" s="212"/>
      <c r="H35" s="202"/>
      <c r="I35" s="199"/>
      <c r="J35" s="204" t="str">
        <f>IF(D35="R",EmplOperating[[#This Row],[OT Hours Worked (Regular Only)]]*EmplOperating[[#This Row],[Overtime Hourly Wage (Regular Only)]],"R Only")</f>
        <v>R Only</v>
      </c>
      <c r="K35" s="205"/>
      <c r="L35" s="199"/>
      <c r="M35" s="350"/>
      <c r="N35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6" spans="3:14" x14ac:dyDescent="0.2">
      <c r="C36" s="283"/>
      <c r="D36" s="198" t="s">
        <v>21</v>
      </c>
      <c r="E36" s="240"/>
      <c r="F36" s="240"/>
      <c r="G36" s="212"/>
      <c r="H36" s="202"/>
      <c r="I36" s="199"/>
      <c r="J36" s="204" t="str">
        <f>IF(D36="R",EmplOperating[[#This Row],[OT Hours Worked (Regular Only)]]*EmplOperating[[#This Row],[Overtime Hourly Wage (Regular Only)]],"R Only")</f>
        <v>R Only</v>
      </c>
      <c r="K36" s="205"/>
      <c r="L36" s="199"/>
      <c r="M36" s="350"/>
      <c r="N36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7" spans="3:14" x14ac:dyDescent="0.2">
      <c r="C37" s="283"/>
      <c r="D37" s="198" t="s">
        <v>21</v>
      </c>
      <c r="E37" s="240"/>
      <c r="F37" s="240"/>
      <c r="G37" s="212"/>
      <c r="H37" s="202"/>
      <c r="I37" s="199"/>
      <c r="J37" s="204" t="str">
        <f>IF(D37="R",EmplOperating[[#This Row],[OT Hours Worked (Regular Only)]]*EmplOperating[[#This Row],[Overtime Hourly Wage (Regular Only)]],"R Only")</f>
        <v>R Only</v>
      </c>
      <c r="K37" s="205"/>
      <c r="L37" s="199"/>
      <c r="M37" s="350"/>
      <c r="N37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8" spans="3:14" x14ac:dyDescent="0.2">
      <c r="C38" s="283"/>
      <c r="D38" s="198" t="s">
        <v>21</v>
      </c>
      <c r="E38" s="240"/>
      <c r="F38" s="240"/>
      <c r="G38" s="212"/>
      <c r="H38" s="202"/>
      <c r="I38" s="199"/>
      <c r="J38" s="204" t="str">
        <f>IF(D38="R",EmplOperating[[#This Row],[OT Hours Worked (Regular Only)]]*EmplOperating[[#This Row],[Overtime Hourly Wage (Regular Only)]],"R Only")</f>
        <v>R Only</v>
      </c>
      <c r="K38" s="205"/>
      <c r="L38" s="199"/>
      <c r="M38" s="350"/>
      <c r="N38" s="179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39" spans="3:14" x14ac:dyDescent="0.2">
      <c r="C39" s="283"/>
      <c r="D39" s="198" t="s">
        <v>21</v>
      </c>
      <c r="E39" s="240"/>
      <c r="F39" s="240"/>
      <c r="G39" s="212"/>
      <c r="H39" s="202"/>
      <c r="I39" s="199"/>
      <c r="J39" s="204" t="str">
        <f>IF(D39="R",EmplOperating[[#This Row],[OT Hours Worked (Regular Only)]]*EmplOperating[[#This Row],[Overtime Hourly Wage (Regular Only)]],"R Only")</f>
        <v>R Only</v>
      </c>
      <c r="K39" s="205"/>
      <c r="L39" s="199"/>
      <c r="M39" s="350"/>
      <c r="N39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0" spans="3:14" x14ac:dyDescent="0.2">
      <c r="C40" s="283"/>
      <c r="D40" s="198" t="s">
        <v>21</v>
      </c>
      <c r="E40" s="240"/>
      <c r="F40" s="240"/>
      <c r="G40" s="212"/>
      <c r="H40" s="202"/>
      <c r="I40" s="199"/>
      <c r="J40" s="204" t="str">
        <f>IF(D40="R",EmplOperating[[#This Row],[OT Hours Worked (Regular Only)]]*EmplOperating[[#This Row],[Overtime Hourly Wage (Regular Only)]],"R Only")</f>
        <v>R Only</v>
      </c>
      <c r="K40" s="205"/>
      <c r="L40" s="199"/>
      <c r="M40" s="350"/>
      <c r="N40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1" spans="3:14" x14ac:dyDescent="0.2">
      <c r="C41" s="283"/>
      <c r="D41" s="198" t="s">
        <v>21</v>
      </c>
      <c r="E41" s="240"/>
      <c r="F41" s="240"/>
      <c r="G41" s="212"/>
      <c r="H41" s="202"/>
      <c r="I41" s="199"/>
      <c r="J41" s="204" t="str">
        <f>IF(D41="R",EmplOperating[[#This Row],[OT Hours Worked (Regular Only)]]*EmplOperating[[#This Row],[Overtime Hourly Wage (Regular Only)]],"R Only")</f>
        <v>R Only</v>
      </c>
      <c r="K41" s="205"/>
      <c r="L41" s="199"/>
      <c r="M41" s="350"/>
      <c r="N41" s="226">
        <f>IF(EmplOperating[[#This Row],[(R), (TE) or (BF)]]="R", SUM(EmplOperating[[#This Row],[Total Wage (Regular Only)]], EmplOperating[[#This Row],[Benefits]]), SUM(EmplOperating[[#This Row],[Total Wage (TE or BF)]],EmplOperating[[#This Row],[Benefits]]))</f>
        <v>0</v>
      </c>
    </row>
    <row r="42" spans="3:14" ht="15" thickBot="1" x14ac:dyDescent="0.25">
      <c r="C42" s="5"/>
      <c r="D42" s="5"/>
      <c r="E42" s="5"/>
      <c r="F42" s="5"/>
      <c r="G42" s="8"/>
      <c r="H42" s="176"/>
      <c r="I42" s="177"/>
      <c r="J42" s="178">
        <f>SUM(EmplOperating[Total Wage (Regular Only)])</f>
        <v>5000</v>
      </c>
      <c r="K42" s="148">
        <f>SUM(EmplOperating[[#All],[Total Wage (TE or BF)]])</f>
        <v>0</v>
      </c>
      <c r="L42" s="149">
        <f>SUM(EmplOperating[[#All],[Benefits]])</f>
        <v>0</v>
      </c>
      <c r="M42" s="24" t="s">
        <v>63</v>
      </c>
      <c r="N42" s="149">
        <f>SUM(EmplOperating[Total Cost])</f>
        <v>5000</v>
      </c>
    </row>
    <row r="43" spans="3:14" x14ac:dyDescent="0.2">
      <c r="C43" s="5"/>
      <c r="D43" s="5"/>
      <c r="E43" s="5"/>
      <c r="F43" s="5"/>
      <c r="G43" s="5"/>
      <c r="H43" s="5"/>
      <c r="I43" s="5"/>
      <c r="J43" s="6"/>
      <c r="K43" s="6"/>
      <c r="L43" s="5"/>
      <c r="M43" s="5"/>
      <c r="N43" s="5"/>
    </row>
    <row r="44" spans="3:14" x14ac:dyDescent="0.2">
      <c r="C44" s="5"/>
      <c r="D44" s="5"/>
      <c r="E44" s="5"/>
      <c r="F44" s="5"/>
      <c r="G44" s="5"/>
      <c r="H44" s="5"/>
      <c r="I44" s="5"/>
      <c r="J44" s="6"/>
      <c r="K44" s="6"/>
      <c r="L44" s="5"/>
      <c r="M44" s="5"/>
      <c r="N44" s="5"/>
    </row>
    <row r="45" spans="3:14" x14ac:dyDescent="0.2">
      <c r="C45" s="5"/>
      <c r="D45" s="5"/>
      <c r="E45" s="5"/>
      <c r="F45" s="5"/>
      <c r="G45" s="5"/>
      <c r="H45" s="5"/>
      <c r="I45" s="5"/>
      <c r="J45" s="6"/>
      <c r="K45" s="6"/>
      <c r="L45" s="5"/>
      <c r="M45" s="5"/>
      <c r="N45" s="5"/>
    </row>
    <row r="46" spans="3:14" x14ac:dyDescent="0.2">
      <c r="C46" s="5"/>
      <c r="D46" s="5"/>
      <c r="E46" s="5"/>
      <c r="F46" s="5"/>
      <c r="G46" s="5"/>
      <c r="H46" s="5"/>
      <c r="I46" s="5"/>
      <c r="J46" s="6"/>
      <c r="K46" s="6"/>
      <c r="L46" s="5"/>
      <c r="M46" s="5"/>
      <c r="N46" s="5"/>
    </row>
    <row r="47" spans="3:14" x14ac:dyDescent="0.2">
      <c r="C47" s="5"/>
      <c r="D47" s="5"/>
      <c r="E47" s="5"/>
      <c r="F47" s="5"/>
      <c r="G47" s="5"/>
      <c r="H47" s="5"/>
      <c r="I47" s="5"/>
      <c r="J47" s="6"/>
      <c r="K47" s="6"/>
      <c r="L47" s="5"/>
      <c r="M47" s="5"/>
      <c r="N47" s="5"/>
    </row>
    <row r="48" spans="3:14" x14ac:dyDescent="0.2">
      <c r="C48" s="5"/>
      <c r="D48" s="5"/>
      <c r="E48" s="5"/>
      <c r="F48" s="5"/>
      <c r="G48" s="5"/>
      <c r="H48" s="5"/>
      <c r="I48" s="5"/>
      <c r="J48" s="6"/>
      <c r="K48" s="6"/>
      <c r="L48" s="5"/>
      <c r="M48" s="5"/>
      <c r="N48" s="5"/>
    </row>
    <row r="49" spans="3:14" x14ac:dyDescent="0.2">
      <c r="C49" s="5"/>
      <c r="D49" s="5"/>
      <c r="E49" s="5"/>
      <c r="F49" s="5"/>
      <c r="G49" s="5"/>
      <c r="H49" s="5"/>
      <c r="I49" s="5"/>
      <c r="J49" s="6"/>
      <c r="K49" s="6"/>
      <c r="L49" s="5"/>
      <c r="M49" s="5"/>
      <c r="N49" s="5"/>
    </row>
    <row r="50" spans="3:14" x14ac:dyDescent="0.2">
      <c r="C50" s="5"/>
      <c r="D50" s="5"/>
      <c r="E50" s="5"/>
      <c r="F50" s="5"/>
      <c r="G50" s="5"/>
      <c r="H50" s="5"/>
      <c r="I50" s="5"/>
      <c r="J50" s="6"/>
      <c r="K50" s="6"/>
      <c r="L50" s="5"/>
      <c r="M50" s="5"/>
      <c r="N50" s="5"/>
    </row>
    <row r="51" spans="3:14" x14ac:dyDescent="0.2">
      <c r="C51" s="5"/>
      <c r="D51" s="5"/>
      <c r="E51" s="5"/>
      <c r="F51" s="5"/>
      <c r="G51" s="5"/>
      <c r="H51" s="5"/>
      <c r="I51" s="5"/>
      <c r="J51" s="6"/>
      <c r="K51" s="6"/>
      <c r="L51" s="5"/>
      <c r="M51" s="5"/>
      <c r="N51" s="5"/>
    </row>
    <row r="52" spans="3:14" x14ac:dyDescent="0.2">
      <c r="M52" s="5"/>
      <c r="N52" s="5"/>
    </row>
    <row r="53" spans="3:14" x14ac:dyDescent="0.2">
      <c r="M53" s="5"/>
      <c r="N53" s="5"/>
    </row>
    <row r="54" spans="3:14" x14ac:dyDescent="0.2">
      <c r="M54" s="5"/>
    </row>
    <row r="55" spans="3:14" x14ac:dyDescent="0.2">
      <c r="M55" s="5"/>
    </row>
    <row r="56" spans="3:14" x14ac:dyDescent="0.2">
      <c r="M56" s="5"/>
    </row>
    <row r="57" spans="3:14" x14ac:dyDescent="0.2">
      <c r="M57" s="5"/>
    </row>
    <row r="58" spans="3:14" x14ac:dyDescent="0.2">
      <c r="M58" s="5"/>
    </row>
    <row r="59" spans="3:14" x14ac:dyDescent="0.2">
      <c r="M59" s="5"/>
    </row>
    <row r="60" spans="3:14" x14ac:dyDescent="0.2">
      <c r="M60" s="5"/>
    </row>
  </sheetData>
  <sheetProtection selectLockedCells="1"/>
  <mergeCells count="4">
    <mergeCell ref="D2:F2"/>
    <mergeCell ref="D3:N3"/>
    <mergeCell ref="B10:B11"/>
    <mergeCell ref="H8:J8"/>
  </mergeCells>
  <conditionalFormatting sqref="M13:M41">
    <cfRule type="expression" dxfId="164" priority="1" stopIfTrue="1">
      <formula>$N13=0</formula>
    </cfRule>
    <cfRule type="expression" dxfId="163" priority="3">
      <formula>$M13=0</formula>
    </cfRule>
  </conditionalFormatting>
  <dataValidations count="4">
    <dataValidation type="list" allowBlank="1" showInputMessage="1" showErrorMessage="1" sqref="D10:D11 D13:D41">
      <formula1>$C$4:$C$7</formula1>
    </dataValidation>
    <dataValidation type="decimal" allowBlank="1" showInputMessage="1" showErrorMessage="1" errorTitle="Error" error="Please enter a dollar value" sqref="K13:L41 I13:I41">
      <formula1>0</formula1>
      <formula2>500000000</formula2>
    </dataValidation>
    <dataValidation type="decimal" allowBlank="1" showInputMessage="1" showErrorMessage="1" errorTitle="Error" error="Please enter a valid number" sqref="H13:H41">
      <formula1>0</formula1>
      <formula2>500000000</formula2>
    </dataValidation>
    <dataValidation type="date" allowBlank="1" showErrorMessage="1" errorTitle="Error" error="Please enter a valid date in the format YYYY/MM/DD" sqref="E13:F41">
      <formula1>41640</formula1>
      <formula2>73415</formula2>
    </dataValidation>
  </dataValidations>
  <pageMargins left="0.25" right="0.25" top="0.75" bottom="0.75" header="0.3" footer="0.3"/>
  <pageSetup paperSize="5" scale="76" fitToHeight="0" orientation="landscape" r:id="rId1"/>
  <headerFooter>
    <oddHeader>&amp;L&amp;G&amp;C&amp;"Arial,Bold"&amp;18&amp;K000000Employee  Operating Costs&amp;R&amp;"Arial,Bold"-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  <pageSetUpPr fitToPage="1"/>
  </sheetPr>
  <dimension ref="B1:U48"/>
  <sheetViews>
    <sheetView showGridLines="0" zoomScale="90" zoomScaleNormal="90" zoomScalePageLayoutView="80" workbookViewId="0">
      <pane ySplit="10" topLeftCell="A11" activePane="bottomLeft" state="frozen"/>
      <selection pane="bottomLeft" activeCell="M14" sqref="M14"/>
    </sheetView>
  </sheetViews>
  <sheetFormatPr defaultRowHeight="14.25" x14ac:dyDescent="0.2"/>
  <cols>
    <col min="1" max="1" width="1" style="2" customWidth="1"/>
    <col min="2" max="2" width="3.625" style="15" customWidth="1"/>
    <col min="3" max="3" width="18.75" style="2" customWidth="1"/>
    <col min="4" max="4" width="11.375" style="2" customWidth="1"/>
    <col min="5" max="5" width="13.5" style="2" customWidth="1"/>
    <col min="6" max="6" width="13.875" style="2" customWidth="1"/>
    <col min="7" max="7" width="29.125" style="2" customWidth="1"/>
    <col min="8" max="8" width="11.875" style="2" customWidth="1"/>
    <col min="9" max="9" width="14.625" style="2" customWidth="1"/>
    <col min="10" max="10" width="15.5" style="2" customWidth="1"/>
    <col min="11" max="11" width="18.625" style="2" customWidth="1"/>
    <col min="12" max="12" width="15.625" style="17" customWidth="1"/>
    <col min="13" max="13" width="14.625" style="2" customWidth="1"/>
    <col min="14" max="14" width="17.25" style="2" customWidth="1"/>
    <col min="15" max="15" width="17.75" style="2" customWidth="1"/>
    <col min="16" max="16" width="21.875" style="2" customWidth="1"/>
    <col min="17" max="17" width="27" style="2" customWidth="1"/>
    <col min="18" max="18" width="11.375" style="2" customWidth="1"/>
    <col min="19" max="19" width="9" style="2" customWidth="1"/>
    <col min="20" max="20" width="9" style="2"/>
    <col min="21" max="21" width="14.625" style="2" hidden="1" customWidth="1"/>
    <col min="22" max="22" width="6.25" style="2" customWidth="1"/>
    <col min="23" max="23" width="9.75" style="2" customWidth="1"/>
    <col min="24" max="24" width="9.125" style="2" customWidth="1"/>
    <col min="25" max="25" width="8" style="2" customWidth="1"/>
    <col min="26" max="219" width="8" style="2"/>
    <col min="220" max="220" width="1" style="2" customWidth="1"/>
    <col min="221" max="221" width="16.25" style="2" customWidth="1"/>
    <col min="222" max="222" width="18.625" style="2" customWidth="1"/>
    <col min="223" max="223" width="6" style="2" customWidth="1"/>
    <col min="224" max="224" width="15.875" style="2" customWidth="1"/>
    <col min="225" max="225" width="10.375" style="2" customWidth="1"/>
    <col min="226" max="226" width="32.125" style="2" customWidth="1"/>
    <col min="227" max="227" width="13.625" style="2" customWidth="1"/>
    <col min="228" max="228" width="7.125" style="2" customWidth="1"/>
    <col min="229" max="229" width="4.375" style="2" customWidth="1"/>
    <col min="230" max="232" width="9.375" style="2" customWidth="1"/>
    <col min="233" max="475" width="8" style="2"/>
    <col min="476" max="476" width="1" style="2" customWidth="1"/>
    <col min="477" max="477" width="16.25" style="2" customWidth="1"/>
    <col min="478" max="478" width="18.625" style="2" customWidth="1"/>
    <col min="479" max="479" width="6" style="2" customWidth="1"/>
    <col min="480" max="480" width="15.875" style="2" customWidth="1"/>
    <col min="481" max="481" width="10.375" style="2" customWidth="1"/>
    <col min="482" max="482" width="32.125" style="2" customWidth="1"/>
    <col min="483" max="483" width="13.625" style="2" customWidth="1"/>
    <col min="484" max="484" width="7.125" style="2" customWidth="1"/>
    <col min="485" max="485" width="4.375" style="2" customWidth="1"/>
    <col min="486" max="488" width="9.375" style="2" customWidth="1"/>
    <col min="489" max="731" width="8" style="2"/>
    <col min="732" max="732" width="1" style="2" customWidth="1"/>
    <col min="733" max="733" width="16.25" style="2" customWidth="1"/>
    <col min="734" max="734" width="18.625" style="2" customWidth="1"/>
    <col min="735" max="735" width="6" style="2" customWidth="1"/>
    <col min="736" max="736" width="15.875" style="2" customWidth="1"/>
    <col min="737" max="737" width="10.375" style="2" customWidth="1"/>
    <col min="738" max="738" width="32.125" style="2" customWidth="1"/>
    <col min="739" max="739" width="13.625" style="2" customWidth="1"/>
    <col min="740" max="740" width="7.125" style="2" customWidth="1"/>
    <col min="741" max="741" width="4.375" style="2" customWidth="1"/>
    <col min="742" max="744" width="9.375" style="2" customWidth="1"/>
    <col min="745" max="987" width="8" style="2"/>
    <col min="988" max="988" width="1" style="2" customWidth="1"/>
    <col min="989" max="989" width="16.25" style="2" customWidth="1"/>
    <col min="990" max="990" width="18.625" style="2" customWidth="1"/>
    <col min="991" max="991" width="6" style="2" customWidth="1"/>
    <col min="992" max="992" width="15.875" style="2" customWidth="1"/>
    <col min="993" max="993" width="10.375" style="2" customWidth="1"/>
    <col min="994" max="994" width="32.125" style="2" customWidth="1"/>
    <col min="995" max="995" width="13.625" style="2" customWidth="1"/>
    <col min="996" max="996" width="7.125" style="2" customWidth="1"/>
    <col min="997" max="997" width="4.375" style="2" customWidth="1"/>
    <col min="998" max="1000" width="9.375" style="2" customWidth="1"/>
    <col min="1001" max="1243" width="9" style="2"/>
    <col min="1244" max="1244" width="1" style="2" customWidth="1"/>
    <col min="1245" max="1245" width="16.25" style="2" customWidth="1"/>
    <col min="1246" max="1246" width="18.625" style="2" customWidth="1"/>
    <col min="1247" max="1247" width="6" style="2" customWidth="1"/>
    <col min="1248" max="1248" width="15.875" style="2" customWidth="1"/>
    <col min="1249" max="1249" width="10.375" style="2" customWidth="1"/>
    <col min="1250" max="1250" width="32.125" style="2" customWidth="1"/>
    <col min="1251" max="1251" width="13.625" style="2" customWidth="1"/>
    <col min="1252" max="1252" width="7.125" style="2" customWidth="1"/>
    <col min="1253" max="1253" width="4.375" style="2" customWidth="1"/>
    <col min="1254" max="1256" width="9.375" style="2" customWidth="1"/>
    <col min="1257" max="1499" width="8" style="2"/>
    <col min="1500" max="1500" width="1" style="2" customWidth="1"/>
    <col min="1501" max="1501" width="16.25" style="2" customWidth="1"/>
    <col min="1502" max="1502" width="18.625" style="2" customWidth="1"/>
    <col min="1503" max="1503" width="6" style="2" customWidth="1"/>
    <col min="1504" max="1504" width="15.875" style="2" customWidth="1"/>
    <col min="1505" max="1505" width="10.375" style="2" customWidth="1"/>
    <col min="1506" max="1506" width="32.125" style="2" customWidth="1"/>
    <col min="1507" max="1507" width="13.625" style="2" customWidth="1"/>
    <col min="1508" max="1508" width="7.125" style="2" customWidth="1"/>
    <col min="1509" max="1509" width="4.375" style="2" customWidth="1"/>
    <col min="1510" max="1512" width="9.375" style="2" customWidth="1"/>
    <col min="1513" max="1755" width="8" style="2"/>
    <col min="1756" max="1756" width="1" style="2" customWidth="1"/>
    <col min="1757" max="1757" width="16.25" style="2" customWidth="1"/>
    <col min="1758" max="1758" width="18.625" style="2" customWidth="1"/>
    <col min="1759" max="1759" width="6" style="2" customWidth="1"/>
    <col min="1760" max="1760" width="15.875" style="2" customWidth="1"/>
    <col min="1761" max="1761" width="10.375" style="2" customWidth="1"/>
    <col min="1762" max="1762" width="32.125" style="2" customWidth="1"/>
    <col min="1763" max="1763" width="13.625" style="2" customWidth="1"/>
    <col min="1764" max="1764" width="7.125" style="2" customWidth="1"/>
    <col min="1765" max="1765" width="4.375" style="2" customWidth="1"/>
    <col min="1766" max="1768" width="9.375" style="2" customWidth="1"/>
    <col min="1769" max="2011" width="8" style="2"/>
    <col min="2012" max="2012" width="1" style="2" customWidth="1"/>
    <col min="2013" max="2013" width="16.25" style="2" customWidth="1"/>
    <col min="2014" max="2014" width="18.625" style="2" customWidth="1"/>
    <col min="2015" max="2015" width="6" style="2" customWidth="1"/>
    <col min="2016" max="2016" width="15.875" style="2" customWidth="1"/>
    <col min="2017" max="2017" width="10.375" style="2" customWidth="1"/>
    <col min="2018" max="2018" width="32.125" style="2" customWidth="1"/>
    <col min="2019" max="2019" width="13.625" style="2" customWidth="1"/>
    <col min="2020" max="2020" width="7.125" style="2" customWidth="1"/>
    <col min="2021" max="2021" width="4.375" style="2" customWidth="1"/>
    <col min="2022" max="2024" width="9.375" style="2" customWidth="1"/>
    <col min="2025" max="2267" width="9" style="2"/>
    <col min="2268" max="2268" width="1" style="2" customWidth="1"/>
    <col min="2269" max="2269" width="16.25" style="2" customWidth="1"/>
    <col min="2270" max="2270" width="18.625" style="2" customWidth="1"/>
    <col min="2271" max="2271" width="6" style="2" customWidth="1"/>
    <col min="2272" max="2272" width="15.875" style="2" customWidth="1"/>
    <col min="2273" max="2273" width="10.375" style="2" customWidth="1"/>
    <col min="2274" max="2274" width="32.125" style="2" customWidth="1"/>
    <col min="2275" max="2275" width="13.625" style="2" customWidth="1"/>
    <col min="2276" max="2276" width="7.125" style="2" customWidth="1"/>
    <col min="2277" max="2277" width="4.375" style="2" customWidth="1"/>
    <col min="2278" max="2280" width="9.375" style="2" customWidth="1"/>
    <col min="2281" max="2523" width="8" style="2"/>
    <col min="2524" max="2524" width="1" style="2" customWidth="1"/>
    <col min="2525" max="2525" width="16.25" style="2" customWidth="1"/>
    <col min="2526" max="2526" width="18.625" style="2" customWidth="1"/>
    <col min="2527" max="2527" width="6" style="2" customWidth="1"/>
    <col min="2528" max="2528" width="15.875" style="2" customWidth="1"/>
    <col min="2529" max="2529" width="10.375" style="2" customWidth="1"/>
    <col min="2530" max="2530" width="32.125" style="2" customWidth="1"/>
    <col min="2531" max="2531" width="13.625" style="2" customWidth="1"/>
    <col min="2532" max="2532" width="7.125" style="2" customWidth="1"/>
    <col min="2533" max="2533" width="4.375" style="2" customWidth="1"/>
    <col min="2534" max="2536" width="9.375" style="2" customWidth="1"/>
    <col min="2537" max="2779" width="8" style="2"/>
    <col min="2780" max="2780" width="1" style="2" customWidth="1"/>
    <col min="2781" max="2781" width="16.25" style="2" customWidth="1"/>
    <col min="2782" max="2782" width="18.625" style="2" customWidth="1"/>
    <col min="2783" max="2783" width="6" style="2" customWidth="1"/>
    <col min="2784" max="2784" width="15.875" style="2" customWidth="1"/>
    <col min="2785" max="2785" width="10.375" style="2" customWidth="1"/>
    <col min="2786" max="2786" width="32.125" style="2" customWidth="1"/>
    <col min="2787" max="2787" width="13.625" style="2" customWidth="1"/>
    <col min="2788" max="2788" width="7.125" style="2" customWidth="1"/>
    <col min="2789" max="2789" width="4.375" style="2" customWidth="1"/>
    <col min="2790" max="2792" width="9.375" style="2" customWidth="1"/>
    <col min="2793" max="3035" width="8" style="2"/>
    <col min="3036" max="3036" width="1" style="2" customWidth="1"/>
    <col min="3037" max="3037" width="16.25" style="2" customWidth="1"/>
    <col min="3038" max="3038" width="18.625" style="2" customWidth="1"/>
    <col min="3039" max="3039" width="6" style="2" customWidth="1"/>
    <col min="3040" max="3040" width="15.875" style="2" customWidth="1"/>
    <col min="3041" max="3041" width="10.375" style="2" customWidth="1"/>
    <col min="3042" max="3042" width="32.125" style="2" customWidth="1"/>
    <col min="3043" max="3043" width="13.625" style="2" customWidth="1"/>
    <col min="3044" max="3044" width="7.125" style="2" customWidth="1"/>
    <col min="3045" max="3045" width="4.375" style="2" customWidth="1"/>
    <col min="3046" max="3048" width="9.375" style="2" customWidth="1"/>
    <col min="3049" max="3291" width="9" style="2"/>
    <col min="3292" max="3292" width="1" style="2" customWidth="1"/>
    <col min="3293" max="3293" width="16.25" style="2" customWidth="1"/>
    <col min="3294" max="3294" width="18.625" style="2" customWidth="1"/>
    <col min="3295" max="3295" width="6" style="2" customWidth="1"/>
    <col min="3296" max="3296" width="15.875" style="2" customWidth="1"/>
    <col min="3297" max="3297" width="10.375" style="2" customWidth="1"/>
    <col min="3298" max="3298" width="32.125" style="2" customWidth="1"/>
    <col min="3299" max="3299" width="13.625" style="2" customWidth="1"/>
    <col min="3300" max="3300" width="7.125" style="2" customWidth="1"/>
    <col min="3301" max="3301" width="4.375" style="2" customWidth="1"/>
    <col min="3302" max="3304" width="9.375" style="2" customWidth="1"/>
    <col min="3305" max="3547" width="8" style="2"/>
    <col min="3548" max="3548" width="1" style="2" customWidth="1"/>
    <col min="3549" max="3549" width="16.25" style="2" customWidth="1"/>
    <col min="3550" max="3550" width="18.625" style="2" customWidth="1"/>
    <col min="3551" max="3551" width="6" style="2" customWidth="1"/>
    <col min="3552" max="3552" width="15.875" style="2" customWidth="1"/>
    <col min="3553" max="3553" width="10.375" style="2" customWidth="1"/>
    <col min="3554" max="3554" width="32.125" style="2" customWidth="1"/>
    <col min="3555" max="3555" width="13.625" style="2" customWidth="1"/>
    <col min="3556" max="3556" width="7.125" style="2" customWidth="1"/>
    <col min="3557" max="3557" width="4.375" style="2" customWidth="1"/>
    <col min="3558" max="3560" width="9.375" style="2" customWidth="1"/>
    <col min="3561" max="3803" width="8" style="2"/>
    <col min="3804" max="3804" width="1" style="2" customWidth="1"/>
    <col min="3805" max="3805" width="16.25" style="2" customWidth="1"/>
    <col min="3806" max="3806" width="18.625" style="2" customWidth="1"/>
    <col min="3807" max="3807" width="6" style="2" customWidth="1"/>
    <col min="3808" max="3808" width="15.875" style="2" customWidth="1"/>
    <col min="3809" max="3809" width="10.375" style="2" customWidth="1"/>
    <col min="3810" max="3810" width="32.125" style="2" customWidth="1"/>
    <col min="3811" max="3811" width="13.625" style="2" customWidth="1"/>
    <col min="3812" max="3812" width="7.125" style="2" customWidth="1"/>
    <col min="3813" max="3813" width="4.375" style="2" customWidth="1"/>
    <col min="3814" max="3816" width="9.375" style="2" customWidth="1"/>
    <col min="3817" max="4059" width="8" style="2"/>
    <col min="4060" max="4060" width="1" style="2" customWidth="1"/>
    <col min="4061" max="4061" width="16.25" style="2" customWidth="1"/>
    <col min="4062" max="4062" width="18.625" style="2" customWidth="1"/>
    <col min="4063" max="4063" width="6" style="2" customWidth="1"/>
    <col min="4064" max="4064" width="15.875" style="2" customWidth="1"/>
    <col min="4065" max="4065" width="10.375" style="2" customWidth="1"/>
    <col min="4066" max="4066" width="32.125" style="2" customWidth="1"/>
    <col min="4067" max="4067" width="13.625" style="2" customWidth="1"/>
    <col min="4068" max="4068" width="7.125" style="2" customWidth="1"/>
    <col min="4069" max="4069" width="4.375" style="2" customWidth="1"/>
    <col min="4070" max="4072" width="9.375" style="2" customWidth="1"/>
    <col min="4073" max="4315" width="9" style="2"/>
    <col min="4316" max="4316" width="1" style="2" customWidth="1"/>
    <col min="4317" max="4317" width="16.25" style="2" customWidth="1"/>
    <col min="4318" max="4318" width="18.625" style="2" customWidth="1"/>
    <col min="4319" max="4319" width="6" style="2" customWidth="1"/>
    <col min="4320" max="4320" width="15.875" style="2" customWidth="1"/>
    <col min="4321" max="4321" width="10.375" style="2" customWidth="1"/>
    <col min="4322" max="4322" width="32.125" style="2" customWidth="1"/>
    <col min="4323" max="4323" width="13.625" style="2" customWidth="1"/>
    <col min="4324" max="4324" width="7.125" style="2" customWidth="1"/>
    <col min="4325" max="4325" width="4.375" style="2" customWidth="1"/>
    <col min="4326" max="4328" width="9.375" style="2" customWidth="1"/>
    <col min="4329" max="4571" width="8" style="2"/>
    <col min="4572" max="4572" width="1" style="2" customWidth="1"/>
    <col min="4573" max="4573" width="16.25" style="2" customWidth="1"/>
    <col min="4574" max="4574" width="18.625" style="2" customWidth="1"/>
    <col min="4575" max="4575" width="6" style="2" customWidth="1"/>
    <col min="4576" max="4576" width="15.875" style="2" customWidth="1"/>
    <col min="4577" max="4577" width="10.375" style="2" customWidth="1"/>
    <col min="4578" max="4578" width="32.125" style="2" customWidth="1"/>
    <col min="4579" max="4579" width="13.625" style="2" customWidth="1"/>
    <col min="4580" max="4580" width="7.125" style="2" customWidth="1"/>
    <col min="4581" max="4581" width="4.375" style="2" customWidth="1"/>
    <col min="4582" max="4584" width="9.375" style="2" customWidth="1"/>
    <col min="4585" max="4827" width="8" style="2"/>
    <col min="4828" max="4828" width="1" style="2" customWidth="1"/>
    <col min="4829" max="4829" width="16.25" style="2" customWidth="1"/>
    <col min="4830" max="4830" width="18.625" style="2" customWidth="1"/>
    <col min="4831" max="4831" width="6" style="2" customWidth="1"/>
    <col min="4832" max="4832" width="15.875" style="2" customWidth="1"/>
    <col min="4833" max="4833" width="10.375" style="2" customWidth="1"/>
    <col min="4834" max="4834" width="32.125" style="2" customWidth="1"/>
    <col min="4835" max="4835" width="13.625" style="2" customWidth="1"/>
    <col min="4836" max="4836" width="7.125" style="2" customWidth="1"/>
    <col min="4837" max="4837" width="4.375" style="2" customWidth="1"/>
    <col min="4838" max="4840" width="9.375" style="2" customWidth="1"/>
    <col min="4841" max="5083" width="8" style="2"/>
    <col min="5084" max="5084" width="1" style="2" customWidth="1"/>
    <col min="5085" max="5085" width="16.25" style="2" customWidth="1"/>
    <col min="5086" max="5086" width="18.625" style="2" customWidth="1"/>
    <col min="5087" max="5087" width="6" style="2" customWidth="1"/>
    <col min="5088" max="5088" width="15.875" style="2" customWidth="1"/>
    <col min="5089" max="5089" width="10.375" style="2" customWidth="1"/>
    <col min="5090" max="5090" width="32.125" style="2" customWidth="1"/>
    <col min="5091" max="5091" width="13.625" style="2" customWidth="1"/>
    <col min="5092" max="5092" width="7.125" style="2" customWidth="1"/>
    <col min="5093" max="5093" width="4.375" style="2" customWidth="1"/>
    <col min="5094" max="5096" width="9.375" style="2" customWidth="1"/>
    <col min="5097" max="5339" width="9" style="2"/>
    <col min="5340" max="5340" width="1" style="2" customWidth="1"/>
    <col min="5341" max="5341" width="16.25" style="2" customWidth="1"/>
    <col min="5342" max="5342" width="18.625" style="2" customWidth="1"/>
    <col min="5343" max="5343" width="6" style="2" customWidth="1"/>
    <col min="5344" max="5344" width="15.875" style="2" customWidth="1"/>
    <col min="5345" max="5345" width="10.375" style="2" customWidth="1"/>
    <col min="5346" max="5346" width="32.125" style="2" customWidth="1"/>
    <col min="5347" max="5347" width="13.625" style="2" customWidth="1"/>
    <col min="5348" max="5348" width="7.125" style="2" customWidth="1"/>
    <col min="5349" max="5349" width="4.375" style="2" customWidth="1"/>
    <col min="5350" max="5352" width="9.375" style="2" customWidth="1"/>
    <col min="5353" max="5595" width="8" style="2"/>
    <col min="5596" max="5596" width="1" style="2" customWidth="1"/>
    <col min="5597" max="5597" width="16.25" style="2" customWidth="1"/>
    <col min="5598" max="5598" width="18.625" style="2" customWidth="1"/>
    <col min="5599" max="5599" width="6" style="2" customWidth="1"/>
    <col min="5600" max="5600" width="15.875" style="2" customWidth="1"/>
    <col min="5601" max="5601" width="10.375" style="2" customWidth="1"/>
    <col min="5602" max="5602" width="32.125" style="2" customWidth="1"/>
    <col min="5603" max="5603" width="13.625" style="2" customWidth="1"/>
    <col min="5604" max="5604" width="7.125" style="2" customWidth="1"/>
    <col min="5605" max="5605" width="4.375" style="2" customWidth="1"/>
    <col min="5606" max="5608" width="9.375" style="2" customWidth="1"/>
    <col min="5609" max="5851" width="8" style="2"/>
    <col min="5852" max="5852" width="1" style="2" customWidth="1"/>
    <col min="5853" max="5853" width="16.25" style="2" customWidth="1"/>
    <col min="5854" max="5854" width="18.625" style="2" customWidth="1"/>
    <col min="5855" max="5855" width="6" style="2" customWidth="1"/>
    <col min="5856" max="5856" width="15.875" style="2" customWidth="1"/>
    <col min="5857" max="5857" width="10.375" style="2" customWidth="1"/>
    <col min="5858" max="5858" width="32.125" style="2" customWidth="1"/>
    <col min="5859" max="5859" width="13.625" style="2" customWidth="1"/>
    <col min="5860" max="5860" width="7.125" style="2" customWidth="1"/>
    <col min="5861" max="5861" width="4.375" style="2" customWidth="1"/>
    <col min="5862" max="5864" width="9.375" style="2" customWidth="1"/>
    <col min="5865" max="6107" width="8" style="2"/>
    <col min="6108" max="6108" width="1" style="2" customWidth="1"/>
    <col min="6109" max="6109" width="16.25" style="2" customWidth="1"/>
    <col min="6110" max="6110" width="18.625" style="2" customWidth="1"/>
    <col min="6111" max="6111" width="6" style="2" customWidth="1"/>
    <col min="6112" max="6112" width="15.875" style="2" customWidth="1"/>
    <col min="6113" max="6113" width="10.375" style="2" customWidth="1"/>
    <col min="6114" max="6114" width="32.125" style="2" customWidth="1"/>
    <col min="6115" max="6115" width="13.625" style="2" customWidth="1"/>
    <col min="6116" max="6116" width="7.125" style="2" customWidth="1"/>
    <col min="6117" max="6117" width="4.375" style="2" customWidth="1"/>
    <col min="6118" max="6120" width="9.375" style="2" customWidth="1"/>
    <col min="6121" max="6363" width="9" style="2"/>
    <col min="6364" max="6364" width="1" style="2" customWidth="1"/>
    <col min="6365" max="6365" width="16.25" style="2" customWidth="1"/>
    <col min="6366" max="6366" width="18.625" style="2" customWidth="1"/>
    <col min="6367" max="6367" width="6" style="2" customWidth="1"/>
    <col min="6368" max="6368" width="15.875" style="2" customWidth="1"/>
    <col min="6369" max="6369" width="10.375" style="2" customWidth="1"/>
    <col min="6370" max="6370" width="32.125" style="2" customWidth="1"/>
    <col min="6371" max="6371" width="13.625" style="2" customWidth="1"/>
    <col min="6372" max="6372" width="7.125" style="2" customWidth="1"/>
    <col min="6373" max="6373" width="4.375" style="2" customWidth="1"/>
    <col min="6374" max="6376" width="9.375" style="2" customWidth="1"/>
    <col min="6377" max="6619" width="8" style="2"/>
    <col min="6620" max="6620" width="1" style="2" customWidth="1"/>
    <col min="6621" max="6621" width="16.25" style="2" customWidth="1"/>
    <col min="6622" max="6622" width="18.625" style="2" customWidth="1"/>
    <col min="6623" max="6623" width="6" style="2" customWidth="1"/>
    <col min="6624" max="6624" width="15.875" style="2" customWidth="1"/>
    <col min="6625" max="6625" width="10.375" style="2" customWidth="1"/>
    <col min="6626" max="6626" width="32.125" style="2" customWidth="1"/>
    <col min="6627" max="6627" width="13.625" style="2" customWidth="1"/>
    <col min="6628" max="6628" width="7.125" style="2" customWidth="1"/>
    <col min="6629" max="6629" width="4.375" style="2" customWidth="1"/>
    <col min="6630" max="6632" width="9.375" style="2" customWidth="1"/>
    <col min="6633" max="6875" width="8" style="2"/>
    <col min="6876" max="6876" width="1" style="2" customWidth="1"/>
    <col min="6877" max="6877" width="16.25" style="2" customWidth="1"/>
    <col min="6878" max="6878" width="18.625" style="2" customWidth="1"/>
    <col min="6879" max="6879" width="6" style="2" customWidth="1"/>
    <col min="6880" max="6880" width="15.875" style="2" customWidth="1"/>
    <col min="6881" max="6881" width="10.375" style="2" customWidth="1"/>
    <col min="6882" max="6882" width="32.125" style="2" customWidth="1"/>
    <col min="6883" max="6883" width="13.625" style="2" customWidth="1"/>
    <col min="6884" max="6884" width="7.125" style="2" customWidth="1"/>
    <col min="6885" max="6885" width="4.375" style="2" customWidth="1"/>
    <col min="6886" max="6888" width="9.375" style="2" customWidth="1"/>
    <col min="6889" max="7131" width="8" style="2"/>
    <col min="7132" max="7132" width="1" style="2" customWidth="1"/>
    <col min="7133" max="7133" width="16.25" style="2" customWidth="1"/>
    <col min="7134" max="7134" width="18.625" style="2" customWidth="1"/>
    <col min="7135" max="7135" width="6" style="2" customWidth="1"/>
    <col min="7136" max="7136" width="15.875" style="2" customWidth="1"/>
    <col min="7137" max="7137" width="10.375" style="2" customWidth="1"/>
    <col min="7138" max="7138" width="32.125" style="2" customWidth="1"/>
    <col min="7139" max="7139" width="13.625" style="2" customWidth="1"/>
    <col min="7140" max="7140" width="7.125" style="2" customWidth="1"/>
    <col min="7141" max="7141" width="4.375" style="2" customWidth="1"/>
    <col min="7142" max="7144" width="9.375" style="2" customWidth="1"/>
    <col min="7145" max="7387" width="9" style="2"/>
    <col min="7388" max="7388" width="1" style="2" customWidth="1"/>
    <col min="7389" max="7389" width="16.25" style="2" customWidth="1"/>
    <col min="7390" max="7390" width="18.625" style="2" customWidth="1"/>
    <col min="7391" max="7391" width="6" style="2" customWidth="1"/>
    <col min="7392" max="7392" width="15.875" style="2" customWidth="1"/>
    <col min="7393" max="7393" width="10.375" style="2" customWidth="1"/>
    <col min="7394" max="7394" width="32.125" style="2" customWidth="1"/>
    <col min="7395" max="7395" width="13.625" style="2" customWidth="1"/>
    <col min="7396" max="7396" width="7.125" style="2" customWidth="1"/>
    <col min="7397" max="7397" width="4.375" style="2" customWidth="1"/>
    <col min="7398" max="7400" width="9.375" style="2" customWidth="1"/>
    <col min="7401" max="7643" width="8" style="2"/>
    <col min="7644" max="7644" width="1" style="2" customWidth="1"/>
    <col min="7645" max="7645" width="16.25" style="2" customWidth="1"/>
    <col min="7646" max="7646" width="18.625" style="2" customWidth="1"/>
    <col min="7647" max="7647" width="6" style="2" customWidth="1"/>
    <col min="7648" max="7648" width="15.875" style="2" customWidth="1"/>
    <col min="7649" max="7649" width="10.375" style="2" customWidth="1"/>
    <col min="7650" max="7650" width="32.125" style="2" customWidth="1"/>
    <col min="7651" max="7651" width="13.625" style="2" customWidth="1"/>
    <col min="7652" max="7652" width="7.125" style="2" customWidth="1"/>
    <col min="7653" max="7653" width="4.375" style="2" customWidth="1"/>
    <col min="7654" max="7656" width="9.375" style="2" customWidth="1"/>
    <col min="7657" max="7899" width="8" style="2"/>
    <col min="7900" max="7900" width="1" style="2" customWidth="1"/>
    <col min="7901" max="7901" width="16.25" style="2" customWidth="1"/>
    <col min="7902" max="7902" width="18.625" style="2" customWidth="1"/>
    <col min="7903" max="7903" width="6" style="2" customWidth="1"/>
    <col min="7904" max="7904" width="15.875" style="2" customWidth="1"/>
    <col min="7905" max="7905" width="10.375" style="2" customWidth="1"/>
    <col min="7906" max="7906" width="32.125" style="2" customWidth="1"/>
    <col min="7907" max="7907" width="13.625" style="2" customWidth="1"/>
    <col min="7908" max="7908" width="7.125" style="2" customWidth="1"/>
    <col min="7909" max="7909" width="4.375" style="2" customWidth="1"/>
    <col min="7910" max="7912" width="9.375" style="2" customWidth="1"/>
    <col min="7913" max="8155" width="8" style="2"/>
    <col min="8156" max="8156" width="1" style="2" customWidth="1"/>
    <col min="8157" max="8157" width="16.25" style="2" customWidth="1"/>
    <col min="8158" max="8158" width="18.625" style="2" customWidth="1"/>
    <col min="8159" max="8159" width="6" style="2" customWidth="1"/>
    <col min="8160" max="8160" width="15.875" style="2" customWidth="1"/>
    <col min="8161" max="8161" width="10.375" style="2" customWidth="1"/>
    <col min="8162" max="8162" width="32.125" style="2" customWidth="1"/>
    <col min="8163" max="8163" width="13.625" style="2" customWidth="1"/>
    <col min="8164" max="8164" width="7.125" style="2" customWidth="1"/>
    <col min="8165" max="8165" width="4.375" style="2" customWidth="1"/>
    <col min="8166" max="8168" width="9.375" style="2" customWidth="1"/>
    <col min="8169" max="8411" width="9" style="2"/>
    <col min="8412" max="8412" width="1" style="2" customWidth="1"/>
    <col min="8413" max="8413" width="16.25" style="2" customWidth="1"/>
    <col min="8414" max="8414" width="18.625" style="2" customWidth="1"/>
    <col min="8415" max="8415" width="6" style="2" customWidth="1"/>
    <col min="8416" max="8416" width="15.875" style="2" customWidth="1"/>
    <col min="8417" max="8417" width="10.375" style="2" customWidth="1"/>
    <col min="8418" max="8418" width="32.125" style="2" customWidth="1"/>
    <col min="8419" max="8419" width="13.625" style="2" customWidth="1"/>
    <col min="8420" max="8420" width="7.125" style="2" customWidth="1"/>
    <col min="8421" max="8421" width="4.375" style="2" customWidth="1"/>
    <col min="8422" max="8424" width="9.375" style="2" customWidth="1"/>
    <col min="8425" max="8667" width="8" style="2"/>
    <col min="8668" max="8668" width="1" style="2" customWidth="1"/>
    <col min="8669" max="8669" width="16.25" style="2" customWidth="1"/>
    <col min="8670" max="8670" width="18.625" style="2" customWidth="1"/>
    <col min="8671" max="8671" width="6" style="2" customWidth="1"/>
    <col min="8672" max="8672" width="15.875" style="2" customWidth="1"/>
    <col min="8673" max="8673" width="10.375" style="2" customWidth="1"/>
    <col min="8674" max="8674" width="32.125" style="2" customWidth="1"/>
    <col min="8675" max="8675" width="13.625" style="2" customWidth="1"/>
    <col min="8676" max="8676" width="7.125" style="2" customWidth="1"/>
    <col min="8677" max="8677" width="4.375" style="2" customWidth="1"/>
    <col min="8678" max="8680" width="9.375" style="2" customWidth="1"/>
    <col min="8681" max="8923" width="8" style="2"/>
    <col min="8924" max="8924" width="1" style="2" customWidth="1"/>
    <col min="8925" max="8925" width="16.25" style="2" customWidth="1"/>
    <col min="8926" max="8926" width="18.625" style="2" customWidth="1"/>
    <col min="8927" max="8927" width="6" style="2" customWidth="1"/>
    <col min="8928" max="8928" width="15.875" style="2" customWidth="1"/>
    <col min="8929" max="8929" width="10.375" style="2" customWidth="1"/>
    <col min="8930" max="8930" width="32.125" style="2" customWidth="1"/>
    <col min="8931" max="8931" width="13.625" style="2" customWidth="1"/>
    <col min="8932" max="8932" width="7.125" style="2" customWidth="1"/>
    <col min="8933" max="8933" width="4.375" style="2" customWidth="1"/>
    <col min="8934" max="8936" width="9.375" style="2" customWidth="1"/>
    <col min="8937" max="9179" width="8" style="2"/>
    <col min="9180" max="9180" width="1" style="2" customWidth="1"/>
    <col min="9181" max="9181" width="16.25" style="2" customWidth="1"/>
    <col min="9182" max="9182" width="18.625" style="2" customWidth="1"/>
    <col min="9183" max="9183" width="6" style="2" customWidth="1"/>
    <col min="9184" max="9184" width="15.875" style="2" customWidth="1"/>
    <col min="9185" max="9185" width="10.375" style="2" customWidth="1"/>
    <col min="9186" max="9186" width="32.125" style="2" customWidth="1"/>
    <col min="9187" max="9187" width="13.625" style="2" customWidth="1"/>
    <col min="9188" max="9188" width="7.125" style="2" customWidth="1"/>
    <col min="9189" max="9189" width="4.375" style="2" customWidth="1"/>
    <col min="9190" max="9192" width="9.375" style="2" customWidth="1"/>
    <col min="9193" max="9435" width="9" style="2"/>
    <col min="9436" max="9436" width="1" style="2" customWidth="1"/>
    <col min="9437" max="9437" width="16.25" style="2" customWidth="1"/>
    <col min="9438" max="9438" width="18.625" style="2" customWidth="1"/>
    <col min="9439" max="9439" width="6" style="2" customWidth="1"/>
    <col min="9440" max="9440" width="15.875" style="2" customWidth="1"/>
    <col min="9441" max="9441" width="10.375" style="2" customWidth="1"/>
    <col min="9442" max="9442" width="32.125" style="2" customWidth="1"/>
    <col min="9443" max="9443" width="13.625" style="2" customWidth="1"/>
    <col min="9444" max="9444" width="7.125" style="2" customWidth="1"/>
    <col min="9445" max="9445" width="4.375" style="2" customWidth="1"/>
    <col min="9446" max="9448" width="9.375" style="2" customWidth="1"/>
    <col min="9449" max="9691" width="8" style="2"/>
    <col min="9692" max="9692" width="1" style="2" customWidth="1"/>
    <col min="9693" max="9693" width="16.25" style="2" customWidth="1"/>
    <col min="9694" max="9694" width="18.625" style="2" customWidth="1"/>
    <col min="9695" max="9695" width="6" style="2" customWidth="1"/>
    <col min="9696" max="9696" width="15.875" style="2" customWidth="1"/>
    <col min="9697" max="9697" width="10.375" style="2" customWidth="1"/>
    <col min="9698" max="9698" width="32.125" style="2" customWidth="1"/>
    <col min="9699" max="9699" width="13.625" style="2" customWidth="1"/>
    <col min="9700" max="9700" width="7.125" style="2" customWidth="1"/>
    <col min="9701" max="9701" width="4.375" style="2" customWidth="1"/>
    <col min="9702" max="9704" width="9.375" style="2" customWidth="1"/>
    <col min="9705" max="9947" width="8" style="2"/>
    <col min="9948" max="9948" width="1" style="2" customWidth="1"/>
    <col min="9949" max="9949" width="16.25" style="2" customWidth="1"/>
    <col min="9950" max="9950" width="18.625" style="2" customWidth="1"/>
    <col min="9951" max="9951" width="6" style="2" customWidth="1"/>
    <col min="9952" max="9952" width="15.875" style="2" customWidth="1"/>
    <col min="9953" max="9953" width="10.375" style="2" customWidth="1"/>
    <col min="9954" max="9954" width="32.125" style="2" customWidth="1"/>
    <col min="9955" max="9955" width="13.625" style="2" customWidth="1"/>
    <col min="9956" max="9956" width="7.125" style="2" customWidth="1"/>
    <col min="9957" max="9957" width="4.375" style="2" customWidth="1"/>
    <col min="9958" max="9960" width="9.375" style="2" customWidth="1"/>
    <col min="9961" max="10203" width="8" style="2"/>
    <col min="10204" max="10204" width="1" style="2" customWidth="1"/>
    <col min="10205" max="10205" width="16.25" style="2" customWidth="1"/>
    <col min="10206" max="10206" width="18.625" style="2" customWidth="1"/>
    <col min="10207" max="10207" width="6" style="2" customWidth="1"/>
    <col min="10208" max="10208" width="15.875" style="2" customWidth="1"/>
    <col min="10209" max="10209" width="10.375" style="2" customWidth="1"/>
    <col min="10210" max="10210" width="32.125" style="2" customWidth="1"/>
    <col min="10211" max="10211" width="13.625" style="2" customWidth="1"/>
    <col min="10212" max="10212" width="7.125" style="2" customWidth="1"/>
    <col min="10213" max="10213" width="4.375" style="2" customWidth="1"/>
    <col min="10214" max="10216" width="9.375" style="2" customWidth="1"/>
    <col min="10217" max="10459" width="9" style="2"/>
    <col min="10460" max="10460" width="1" style="2" customWidth="1"/>
    <col min="10461" max="10461" width="16.25" style="2" customWidth="1"/>
    <col min="10462" max="10462" width="18.625" style="2" customWidth="1"/>
    <col min="10463" max="10463" width="6" style="2" customWidth="1"/>
    <col min="10464" max="10464" width="15.875" style="2" customWidth="1"/>
    <col min="10465" max="10465" width="10.375" style="2" customWidth="1"/>
    <col min="10466" max="10466" width="32.125" style="2" customWidth="1"/>
    <col min="10467" max="10467" width="13.625" style="2" customWidth="1"/>
    <col min="10468" max="10468" width="7.125" style="2" customWidth="1"/>
    <col min="10469" max="10469" width="4.375" style="2" customWidth="1"/>
    <col min="10470" max="10472" width="9.375" style="2" customWidth="1"/>
    <col min="10473" max="10715" width="8" style="2"/>
    <col min="10716" max="10716" width="1" style="2" customWidth="1"/>
    <col min="10717" max="10717" width="16.25" style="2" customWidth="1"/>
    <col min="10718" max="10718" width="18.625" style="2" customWidth="1"/>
    <col min="10719" max="10719" width="6" style="2" customWidth="1"/>
    <col min="10720" max="10720" width="15.875" style="2" customWidth="1"/>
    <col min="10721" max="10721" width="10.375" style="2" customWidth="1"/>
    <col min="10722" max="10722" width="32.125" style="2" customWidth="1"/>
    <col min="10723" max="10723" width="13.625" style="2" customWidth="1"/>
    <col min="10724" max="10724" width="7.125" style="2" customWidth="1"/>
    <col min="10725" max="10725" width="4.375" style="2" customWidth="1"/>
    <col min="10726" max="10728" width="9.375" style="2" customWidth="1"/>
    <col min="10729" max="10971" width="8" style="2"/>
    <col min="10972" max="10972" width="1" style="2" customWidth="1"/>
    <col min="10973" max="10973" width="16.25" style="2" customWidth="1"/>
    <col min="10974" max="10974" width="18.625" style="2" customWidth="1"/>
    <col min="10975" max="10975" width="6" style="2" customWidth="1"/>
    <col min="10976" max="10976" width="15.875" style="2" customWidth="1"/>
    <col min="10977" max="10977" width="10.375" style="2" customWidth="1"/>
    <col min="10978" max="10978" width="32.125" style="2" customWidth="1"/>
    <col min="10979" max="10979" width="13.625" style="2" customWidth="1"/>
    <col min="10980" max="10980" width="7.125" style="2" customWidth="1"/>
    <col min="10981" max="10981" width="4.375" style="2" customWidth="1"/>
    <col min="10982" max="10984" width="9.375" style="2" customWidth="1"/>
    <col min="10985" max="11227" width="8" style="2"/>
    <col min="11228" max="11228" width="1" style="2" customWidth="1"/>
    <col min="11229" max="11229" width="16.25" style="2" customWidth="1"/>
    <col min="11230" max="11230" width="18.625" style="2" customWidth="1"/>
    <col min="11231" max="11231" width="6" style="2" customWidth="1"/>
    <col min="11232" max="11232" width="15.875" style="2" customWidth="1"/>
    <col min="11233" max="11233" width="10.375" style="2" customWidth="1"/>
    <col min="11234" max="11234" width="32.125" style="2" customWidth="1"/>
    <col min="11235" max="11235" width="13.625" style="2" customWidth="1"/>
    <col min="11236" max="11236" width="7.125" style="2" customWidth="1"/>
    <col min="11237" max="11237" width="4.375" style="2" customWidth="1"/>
    <col min="11238" max="11240" width="9.375" style="2" customWidth="1"/>
    <col min="11241" max="11483" width="9" style="2"/>
    <col min="11484" max="11484" width="1" style="2" customWidth="1"/>
    <col min="11485" max="11485" width="16.25" style="2" customWidth="1"/>
    <col min="11486" max="11486" width="18.625" style="2" customWidth="1"/>
    <col min="11487" max="11487" width="6" style="2" customWidth="1"/>
    <col min="11488" max="11488" width="15.875" style="2" customWidth="1"/>
    <col min="11489" max="11489" width="10.375" style="2" customWidth="1"/>
    <col min="11490" max="11490" width="32.125" style="2" customWidth="1"/>
    <col min="11491" max="11491" width="13.625" style="2" customWidth="1"/>
    <col min="11492" max="11492" width="7.125" style="2" customWidth="1"/>
    <col min="11493" max="11493" width="4.375" style="2" customWidth="1"/>
    <col min="11494" max="11496" width="9.375" style="2" customWidth="1"/>
    <col min="11497" max="11739" width="8" style="2"/>
    <col min="11740" max="11740" width="1" style="2" customWidth="1"/>
    <col min="11741" max="11741" width="16.25" style="2" customWidth="1"/>
    <col min="11742" max="11742" width="18.625" style="2" customWidth="1"/>
    <col min="11743" max="11743" width="6" style="2" customWidth="1"/>
    <col min="11744" max="11744" width="15.875" style="2" customWidth="1"/>
    <col min="11745" max="11745" width="10.375" style="2" customWidth="1"/>
    <col min="11746" max="11746" width="32.125" style="2" customWidth="1"/>
    <col min="11747" max="11747" width="13.625" style="2" customWidth="1"/>
    <col min="11748" max="11748" width="7.125" style="2" customWidth="1"/>
    <col min="11749" max="11749" width="4.375" style="2" customWidth="1"/>
    <col min="11750" max="11752" width="9.375" style="2" customWidth="1"/>
    <col min="11753" max="11995" width="8" style="2"/>
    <col min="11996" max="11996" width="1" style="2" customWidth="1"/>
    <col min="11997" max="11997" width="16.25" style="2" customWidth="1"/>
    <col min="11998" max="11998" width="18.625" style="2" customWidth="1"/>
    <col min="11999" max="11999" width="6" style="2" customWidth="1"/>
    <col min="12000" max="12000" width="15.875" style="2" customWidth="1"/>
    <col min="12001" max="12001" width="10.375" style="2" customWidth="1"/>
    <col min="12002" max="12002" width="32.125" style="2" customWidth="1"/>
    <col min="12003" max="12003" width="13.625" style="2" customWidth="1"/>
    <col min="12004" max="12004" width="7.125" style="2" customWidth="1"/>
    <col min="12005" max="12005" width="4.375" style="2" customWidth="1"/>
    <col min="12006" max="12008" width="9.375" style="2" customWidth="1"/>
    <col min="12009" max="12251" width="8" style="2"/>
    <col min="12252" max="12252" width="1" style="2" customWidth="1"/>
    <col min="12253" max="12253" width="16.25" style="2" customWidth="1"/>
    <col min="12254" max="12254" width="18.625" style="2" customWidth="1"/>
    <col min="12255" max="12255" width="6" style="2" customWidth="1"/>
    <col min="12256" max="12256" width="15.875" style="2" customWidth="1"/>
    <col min="12257" max="12257" width="10.375" style="2" customWidth="1"/>
    <col min="12258" max="12258" width="32.125" style="2" customWidth="1"/>
    <col min="12259" max="12259" width="13.625" style="2" customWidth="1"/>
    <col min="12260" max="12260" width="7.125" style="2" customWidth="1"/>
    <col min="12261" max="12261" width="4.375" style="2" customWidth="1"/>
    <col min="12262" max="12264" width="9.375" style="2" customWidth="1"/>
    <col min="12265" max="12507" width="9" style="2"/>
    <col min="12508" max="12508" width="1" style="2" customWidth="1"/>
    <col min="12509" max="12509" width="16.25" style="2" customWidth="1"/>
    <col min="12510" max="12510" width="18.625" style="2" customWidth="1"/>
    <col min="12511" max="12511" width="6" style="2" customWidth="1"/>
    <col min="12512" max="12512" width="15.875" style="2" customWidth="1"/>
    <col min="12513" max="12513" width="10.375" style="2" customWidth="1"/>
    <col min="12514" max="12514" width="32.125" style="2" customWidth="1"/>
    <col min="12515" max="12515" width="13.625" style="2" customWidth="1"/>
    <col min="12516" max="12516" width="7.125" style="2" customWidth="1"/>
    <col min="12517" max="12517" width="4.375" style="2" customWidth="1"/>
    <col min="12518" max="12520" width="9.375" style="2" customWidth="1"/>
    <col min="12521" max="12763" width="8" style="2"/>
    <col min="12764" max="12764" width="1" style="2" customWidth="1"/>
    <col min="12765" max="12765" width="16.25" style="2" customWidth="1"/>
    <col min="12766" max="12766" width="18.625" style="2" customWidth="1"/>
    <col min="12767" max="12767" width="6" style="2" customWidth="1"/>
    <col min="12768" max="12768" width="15.875" style="2" customWidth="1"/>
    <col min="12769" max="12769" width="10.375" style="2" customWidth="1"/>
    <col min="12770" max="12770" width="32.125" style="2" customWidth="1"/>
    <col min="12771" max="12771" width="13.625" style="2" customWidth="1"/>
    <col min="12772" max="12772" width="7.125" style="2" customWidth="1"/>
    <col min="12773" max="12773" width="4.375" style="2" customWidth="1"/>
    <col min="12774" max="12776" width="9.375" style="2" customWidth="1"/>
    <col min="12777" max="13019" width="8" style="2"/>
    <col min="13020" max="13020" width="1" style="2" customWidth="1"/>
    <col min="13021" max="13021" width="16.25" style="2" customWidth="1"/>
    <col min="13022" max="13022" width="18.625" style="2" customWidth="1"/>
    <col min="13023" max="13023" width="6" style="2" customWidth="1"/>
    <col min="13024" max="13024" width="15.875" style="2" customWidth="1"/>
    <col min="13025" max="13025" width="10.375" style="2" customWidth="1"/>
    <col min="13026" max="13026" width="32.125" style="2" customWidth="1"/>
    <col min="13027" max="13027" width="13.625" style="2" customWidth="1"/>
    <col min="13028" max="13028" width="7.125" style="2" customWidth="1"/>
    <col min="13029" max="13029" width="4.375" style="2" customWidth="1"/>
    <col min="13030" max="13032" width="9.375" style="2" customWidth="1"/>
    <col min="13033" max="13275" width="8" style="2"/>
    <col min="13276" max="13276" width="1" style="2" customWidth="1"/>
    <col min="13277" max="13277" width="16.25" style="2" customWidth="1"/>
    <col min="13278" max="13278" width="18.625" style="2" customWidth="1"/>
    <col min="13279" max="13279" width="6" style="2" customWidth="1"/>
    <col min="13280" max="13280" width="15.875" style="2" customWidth="1"/>
    <col min="13281" max="13281" width="10.375" style="2" customWidth="1"/>
    <col min="13282" max="13282" width="32.125" style="2" customWidth="1"/>
    <col min="13283" max="13283" width="13.625" style="2" customWidth="1"/>
    <col min="13284" max="13284" width="7.125" style="2" customWidth="1"/>
    <col min="13285" max="13285" width="4.375" style="2" customWidth="1"/>
    <col min="13286" max="13288" width="9.375" style="2" customWidth="1"/>
    <col min="13289" max="13531" width="9" style="2"/>
    <col min="13532" max="13532" width="1" style="2" customWidth="1"/>
    <col min="13533" max="13533" width="16.25" style="2" customWidth="1"/>
    <col min="13534" max="13534" width="18.625" style="2" customWidth="1"/>
    <col min="13535" max="13535" width="6" style="2" customWidth="1"/>
    <col min="13536" max="13536" width="15.875" style="2" customWidth="1"/>
    <col min="13537" max="13537" width="10.375" style="2" customWidth="1"/>
    <col min="13538" max="13538" width="32.125" style="2" customWidth="1"/>
    <col min="13539" max="13539" width="13.625" style="2" customWidth="1"/>
    <col min="13540" max="13540" width="7.125" style="2" customWidth="1"/>
    <col min="13541" max="13541" width="4.375" style="2" customWidth="1"/>
    <col min="13542" max="13544" width="9.375" style="2" customWidth="1"/>
    <col min="13545" max="13787" width="8" style="2"/>
    <col min="13788" max="13788" width="1" style="2" customWidth="1"/>
    <col min="13789" max="13789" width="16.25" style="2" customWidth="1"/>
    <col min="13790" max="13790" width="18.625" style="2" customWidth="1"/>
    <col min="13791" max="13791" width="6" style="2" customWidth="1"/>
    <col min="13792" max="13792" width="15.875" style="2" customWidth="1"/>
    <col min="13793" max="13793" width="10.375" style="2" customWidth="1"/>
    <col min="13794" max="13794" width="32.125" style="2" customWidth="1"/>
    <col min="13795" max="13795" width="13.625" style="2" customWidth="1"/>
    <col min="13796" max="13796" width="7.125" style="2" customWidth="1"/>
    <col min="13797" max="13797" width="4.375" style="2" customWidth="1"/>
    <col min="13798" max="13800" width="9.375" style="2" customWidth="1"/>
    <col min="13801" max="14043" width="8" style="2"/>
    <col min="14044" max="14044" width="1" style="2" customWidth="1"/>
    <col min="14045" max="14045" width="16.25" style="2" customWidth="1"/>
    <col min="14046" max="14046" width="18.625" style="2" customWidth="1"/>
    <col min="14047" max="14047" width="6" style="2" customWidth="1"/>
    <col min="14048" max="14048" width="15.875" style="2" customWidth="1"/>
    <col min="14049" max="14049" width="10.375" style="2" customWidth="1"/>
    <col min="14050" max="14050" width="32.125" style="2" customWidth="1"/>
    <col min="14051" max="14051" width="13.625" style="2" customWidth="1"/>
    <col min="14052" max="14052" width="7.125" style="2" customWidth="1"/>
    <col min="14053" max="14053" width="4.375" style="2" customWidth="1"/>
    <col min="14054" max="14056" width="9.375" style="2" customWidth="1"/>
    <col min="14057" max="14299" width="8" style="2"/>
    <col min="14300" max="14300" width="1" style="2" customWidth="1"/>
    <col min="14301" max="14301" width="16.25" style="2" customWidth="1"/>
    <col min="14302" max="14302" width="18.625" style="2" customWidth="1"/>
    <col min="14303" max="14303" width="6" style="2" customWidth="1"/>
    <col min="14304" max="14304" width="15.875" style="2" customWidth="1"/>
    <col min="14305" max="14305" width="10.375" style="2" customWidth="1"/>
    <col min="14306" max="14306" width="32.125" style="2" customWidth="1"/>
    <col min="14307" max="14307" width="13.625" style="2" customWidth="1"/>
    <col min="14308" max="14308" width="7.125" style="2" customWidth="1"/>
    <col min="14309" max="14309" width="4.375" style="2" customWidth="1"/>
    <col min="14310" max="14312" width="9.375" style="2" customWidth="1"/>
    <col min="14313" max="14555" width="9" style="2"/>
    <col min="14556" max="14556" width="1" style="2" customWidth="1"/>
    <col min="14557" max="14557" width="16.25" style="2" customWidth="1"/>
    <col min="14558" max="14558" width="18.625" style="2" customWidth="1"/>
    <col min="14559" max="14559" width="6" style="2" customWidth="1"/>
    <col min="14560" max="14560" width="15.875" style="2" customWidth="1"/>
    <col min="14561" max="14561" width="10.375" style="2" customWidth="1"/>
    <col min="14562" max="14562" width="32.125" style="2" customWidth="1"/>
    <col min="14563" max="14563" width="13.625" style="2" customWidth="1"/>
    <col min="14564" max="14564" width="7.125" style="2" customWidth="1"/>
    <col min="14565" max="14565" width="4.375" style="2" customWidth="1"/>
    <col min="14566" max="14568" width="9.375" style="2" customWidth="1"/>
    <col min="14569" max="14811" width="8" style="2"/>
    <col min="14812" max="14812" width="1" style="2" customWidth="1"/>
    <col min="14813" max="14813" width="16.25" style="2" customWidth="1"/>
    <col min="14814" max="14814" width="18.625" style="2" customWidth="1"/>
    <col min="14815" max="14815" width="6" style="2" customWidth="1"/>
    <col min="14816" max="14816" width="15.875" style="2" customWidth="1"/>
    <col min="14817" max="14817" width="10.375" style="2" customWidth="1"/>
    <col min="14818" max="14818" width="32.125" style="2" customWidth="1"/>
    <col min="14819" max="14819" width="13.625" style="2" customWidth="1"/>
    <col min="14820" max="14820" width="7.125" style="2" customWidth="1"/>
    <col min="14821" max="14821" width="4.375" style="2" customWidth="1"/>
    <col min="14822" max="14824" width="9.375" style="2" customWidth="1"/>
    <col min="14825" max="15067" width="8" style="2"/>
    <col min="15068" max="15068" width="1" style="2" customWidth="1"/>
    <col min="15069" max="15069" width="16.25" style="2" customWidth="1"/>
    <col min="15070" max="15070" width="18.625" style="2" customWidth="1"/>
    <col min="15071" max="15071" width="6" style="2" customWidth="1"/>
    <col min="15072" max="15072" width="15.875" style="2" customWidth="1"/>
    <col min="15073" max="15073" width="10.375" style="2" customWidth="1"/>
    <col min="15074" max="15074" width="32.125" style="2" customWidth="1"/>
    <col min="15075" max="15075" width="13.625" style="2" customWidth="1"/>
    <col min="15076" max="15076" width="7.125" style="2" customWidth="1"/>
    <col min="15077" max="15077" width="4.375" style="2" customWidth="1"/>
    <col min="15078" max="15080" width="9.375" style="2" customWidth="1"/>
    <col min="15081" max="15323" width="8" style="2"/>
    <col min="15324" max="15324" width="1" style="2" customWidth="1"/>
    <col min="15325" max="15325" width="16.25" style="2" customWidth="1"/>
    <col min="15326" max="15326" width="18.625" style="2" customWidth="1"/>
    <col min="15327" max="15327" width="6" style="2" customWidth="1"/>
    <col min="15328" max="15328" width="15.875" style="2" customWidth="1"/>
    <col min="15329" max="15329" width="10.375" style="2" customWidth="1"/>
    <col min="15330" max="15330" width="32.125" style="2" customWidth="1"/>
    <col min="15331" max="15331" width="13.625" style="2" customWidth="1"/>
    <col min="15332" max="15332" width="7.125" style="2" customWidth="1"/>
    <col min="15333" max="15333" width="4.375" style="2" customWidth="1"/>
    <col min="15334" max="15336" width="9.375" style="2" customWidth="1"/>
    <col min="15337" max="15579" width="9" style="2"/>
    <col min="15580" max="15580" width="1" style="2" customWidth="1"/>
    <col min="15581" max="15581" width="16.25" style="2" customWidth="1"/>
    <col min="15582" max="15582" width="18.625" style="2" customWidth="1"/>
    <col min="15583" max="15583" width="6" style="2" customWidth="1"/>
    <col min="15584" max="15584" width="15.875" style="2" customWidth="1"/>
    <col min="15585" max="15585" width="10.375" style="2" customWidth="1"/>
    <col min="15586" max="15586" width="32.125" style="2" customWidth="1"/>
    <col min="15587" max="15587" width="13.625" style="2" customWidth="1"/>
    <col min="15588" max="15588" width="7.125" style="2" customWidth="1"/>
    <col min="15589" max="15589" width="4.375" style="2" customWidth="1"/>
    <col min="15590" max="15592" width="9.375" style="2" customWidth="1"/>
    <col min="15593" max="15835" width="8" style="2"/>
    <col min="15836" max="15836" width="1" style="2" customWidth="1"/>
    <col min="15837" max="15837" width="16.25" style="2" customWidth="1"/>
    <col min="15838" max="15838" width="18.625" style="2" customWidth="1"/>
    <col min="15839" max="15839" width="6" style="2" customWidth="1"/>
    <col min="15840" max="15840" width="15.875" style="2" customWidth="1"/>
    <col min="15841" max="15841" width="10.375" style="2" customWidth="1"/>
    <col min="15842" max="15842" width="32.125" style="2" customWidth="1"/>
    <col min="15843" max="15843" width="13.625" style="2" customWidth="1"/>
    <col min="15844" max="15844" width="7.125" style="2" customWidth="1"/>
    <col min="15845" max="15845" width="4.375" style="2" customWidth="1"/>
    <col min="15846" max="15848" width="9.375" style="2" customWidth="1"/>
    <col min="15849" max="16091" width="8" style="2"/>
    <col min="16092" max="16092" width="1" style="2" customWidth="1"/>
    <col min="16093" max="16093" width="16.25" style="2" customWidth="1"/>
    <col min="16094" max="16094" width="18.625" style="2" customWidth="1"/>
    <col min="16095" max="16095" width="6" style="2" customWidth="1"/>
    <col min="16096" max="16096" width="15.875" style="2" customWidth="1"/>
    <col min="16097" max="16097" width="10.375" style="2" customWidth="1"/>
    <col min="16098" max="16098" width="32.125" style="2" customWidth="1"/>
    <col min="16099" max="16099" width="13.625" style="2" customWidth="1"/>
    <col min="16100" max="16100" width="7.125" style="2" customWidth="1"/>
    <col min="16101" max="16101" width="4.375" style="2" customWidth="1"/>
    <col min="16102" max="16104" width="9.375" style="2" customWidth="1"/>
    <col min="16105" max="16384" width="9" style="2"/>
  </cols>
  <sheetData>
    <row r="1" spans="2:21" s="15" customFormat="1" ht="84.75" customHeight="1" x14ac:dyDescent="0.25">
      <c r="H1" s="355" t="s">
        <v>195</v>
      </c>
      <c r="L1" s="17"/>
      <c r="M1" s="357" t="s">
        <v>193</v>
      </c>
    </row>
    <row r="2" spans="2:21" s="5" customFormat="1" ht="47.25" customHeight="1" x14ac:dyDescent="0.25">
      <c r="C2" s="25" t="s">
        <v>7</v>
      </c>
      <c r="D2" s="422" t="str">
        <f>'0.Claimant Home Page'!F4</f>
        <v>Municipality of Gold Standard</v>
      </c>
      <c r="E2" s="422"/>
      <c r="F2" s="422"/>
      <c r="G2"/>
      <c r="H2" s="3"/>
      <c r="J2" s="4"/>
      <c r="K2" s="4"/>
      <c r="L2" s="16"/>
      <c r="U2" s="2" t="s">
        <v>21</v>
      </c>
    </row>
    <row r="3" spans="2:21" s="5" customFormat="1" ht="27.75" customHeight="1" thickBot="1" x14ac:dyDescent="0.3">
      <c r="C3" s="24" t="s">
        <v>15</v>
      </c>
      <c r="D3" s="413" t="s">
        <v>185</v>
      </c>
      <c r="E3" s="413"/>
      <c r="F3" s="413"/>
      <c r="G3" s="413"/>
      <c r="H3" s="413"/>
      <c r="I3" s="413"/>
      <c r="J3" s="413"/>
      <c r="K3" s="413"/>
      <c r="L3" s="413"/>
      <c r="M3" s="413"/>
      <c r="N3" s="413"/>
      <c r="U3" s="5" t="s">
        <v>33</v>
      </c>
    </row>
    <row r="4" spans="2:21" s="5" customFormat="1" ht="3.75" hidden="1" customHeight="1" thickBot="1" x14ac:dyDescent="0.3">
      <c r="C4" s="34"/>
      <c r="U4" s="5" t="s">
        <v>26</v>
      </c>
    </row>
    <row r="5" spans="2:21" s="38" customFormat="1" ht="12.75" hidden="1" customHeight="1" x14ac:dyDescent="0.25">
      <c r="C5" s="34" t="s">
        <v>21</v>
      </c>
    </row>
    <row r="6" spans="2:21" s="38" customFormat="1" ht="13.5" hidden="1" customHeight="1" thickBot="1" x14ac:dyDescent="0.3">
      <c r="C6" s="34" t="s">
        <v>33</v>
      </c>
    </row>
    <row r="7" spans="2:21" s="38" customFormat="1" ht="13.5" hidden="1" customHeight="1" thickBot="1" x14ac:dyDescent="0.3">
      <c r="C7" s="34" t="s">
        <v>37</v>
      </c>
    </row>
    <row r="8" spans="2:21" s="38" customFormat="1" ht="13.5" hidden="1" customHeight="1" thickBot="1" x14ac:dyDescent="0.3">
      <c r="C8" s="34" t="s">
        <v>26</v>
      </c>
    </row>
    <row r="9" spans="2:21" ht="39.75" customHeight="1" thickBot="1" x14ac:dyDescent="0.3">
      <c r="H9" s="419" t="s">
        <v>42</v>
      </c>
      <c r="I9" s="420"/>
      <c r="J9" s="421"/>
      <c r="K9" s="367" t="s">
        <v>150</v>
      </c>
      <c r="L9" s="15"/>
      <c r="M9" s="15"/>
    </row>
    <row r="10" spans="2:21" s="5" customFormat="1" ht="40.5" customHeight="1" x14ac:dyDescent="0.25">
      <c r="C10" s="83" t="s">
        <v>48</v>
      </c>
      <c r="D10" s="84" t="s">
        <v>41</v>
      </c>
      <c r="E10" s="84" t="s">
        <v>135</v>
      </c>
      <c r="F10" s="96" t="s">
        <v>136</v>
      </c>
      <c r="G10" s="87" t="s">
        <v>66</v>
      </c>
      <c r="H10" s="97" t="s">
        <v>57</v>
      </c>
      <c r="I10" s="98" t="s">
        <v>51</v>
      </c>
      <c r="J10" s="99" t="s">
        <v>134</v>
      </c>
      <c r="K10" s="368" t="s">
        <v>38</v>
      </c>
      <c r="L10" s="99" t="s">
        <v>40</v>
      </c>
      <c r="M10" s="87" t="s">
        <v>39</v>
      </c>
      <c r="N10" s="100" t="s">
        <v>29</v>
      </c>
      <c r="O10" s="7"/>
      <c r="P10" s="7"/>
      <c r="Q10" s="7"/>
      <c r="R10" s="7"/>
      <c r="S10" s="7"/>
      <c r="T10" s="9"/>
    </row>
    <row r="11" spans="2:21" s="5" customFormat="1" ht="57.75" customHeight="1" x14ac:dyDescent="0.2">
      <c r="B11" s="416" t="s">
        <v>20</v>
      </c>
      <c r="C11" s="162" t="s">
        <v>83</v>
      </c>
      <c r="D11" s="163" t="s">
        <v>37</v>
      </c>
      <c r="E11" s="282">
        <v>43769</v>
      </c>
      <c r="F11" s="282">
        <v>43779</v>
      </c>
      <c r="G11" s="134" t="s">
        <v>149</v>
      </c>
      <c r="H11" s="372"/>
      <c r="I11" s="299"/>
      <c r="J11" s="373" t="s">
        <v>52</v>
      </c>
      <c r="K11" s="369">
        <v>4300</v>
      </c>
      <c r="L11" s="164" t="s">
        <v>55</v>
      </c>
      <c r="M11" s="165">
        <v>1165</v>
      </c>
      <c r="N11" s="166">
        <v>4300</v>
      </c>
    </row>
    <row r="12" spans="2:21" s="5" customFormat="1" ht="63.75" x14ac:dyDescent="0.2">
      <c r="B12" s="416"/>
      <c r="C12" s="167" t="s">
        <v>118</v>
      </c>
      <c r="D12" s="163" t="s">
        <v>26</v>
      </c>
      <c r="E12" s="282">
        <v>43918</v>
      </c>
      <c r="F12" s="282">
        <v>43981</v>
      </c>
      <c r="G12" s="364" t="s">
        <v>148</v>
      </c>
      <c r="H12" s="372"/>
      <c r="I12" s="299"/>
      <c r="J12" s="373" t="s">
        <v>52</v>
      </c>
      <c r="K12" s="369">
        <v>11000</v>
      </c>
      <c r="L12" s="164">
        <v>1800</v>
      </c>
      <c r="M12" s="165">
        <v>25</v>
      </c>
      <c r="N12" s="166">
        <v>12800</v>
      </c>
    </row>
    <row r="13" spans="2:21" s="5" customFormat="1" ht="19.5" hidden="1" customHeight="1" x14ac:dyDescent="0.2">
      <c r="C13" s="170" t="s">
        <v>104</v>
      </c>
      <c r="D13" s="171" t="s">
        <v>32</v>
      </c>
      <c r="E13" s="172" t="s">
        <v>22</v>
      </c>
      <c r="F13" s="172" t="s">
        <v>62</v>
      </c>
      <c r="G13" s="365" t="s">
        <v>3</v>
      </c>
      <c r="H13" s="374" t="s">
        <v>23</v>
      </c>
      <c r="I13" s="169" t="s">
        <v>24</v>
      </c>
      <c r="J13" s="173" t="s">
        <v>25</v>
      </c>
      <c r="K13" s="370" t="s">
        <v>27</v>
      </c>
      <c r="L13" s="173" t="s">
        <v>40</v>
      </c>
      <c r="M13" s="174" t="s">
        <v>174</v>
      </c>
      <c r="N13" s="175" t="s">
        <v>29</v>
      </c>
    </row>
    <row r="14" spans="2:21" s="5" customFormat="1" ht="12.75" x14ac:dyDescent="0.2">
      <c r="C14" s="180" t="s">
        <v>211</v>
      </c>
      <c r="D14" s="168" t="s">
        <v>33</v>
      </c>
      <c r="E14" s="157">
        <v>43094</v>
      </c>
      <c r="F14" s="158">
        <v>43095</v>
      </c>
      <c r="G14" s="91" t="s">
        <v>212</v>
      </c>
      <c r="H14" s="375">
        <v>20</v>
      </c>
      <c r="I14" s="181">
        <v>2</v>
      </c>
      <c r="J14" s="376">
        <f>IF(ECCapital[[#This Row],[(R), (TE) or (BF)]]="R", ECCapital[[#This Row],[OT Hours Worked (Full Time Only)]]*ECCapital[[#This Row],[Overtime Hourly Wage (Full Time Only)]], "R Only")</f>
        <v>40</v>
      </c>
      <c r="K14" s="371"/>
      <c r="L14" s="181"/>
      <c r="M14" s="350" t="s">
        <v>213</v>
      </c>
      <c r="N1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40</v>
      </c>
    </row>
    <row r="15" spans="2:21" s="5" customFormat="1" ht="12.75" x14ac:dyDescent="0.2">
      <c r="C15" s="180"/>
      <c r="D15" s="168" t="s">
        <v>21</v>
      </c>
      <c r="E15" s="241"/>
      <c r="F15" s="241"/>
      <c r="G15" s="366"/>
      <c r="H15" s="375"/>
      <c r="I15" s="181"/>
      <c r="J15" s="376" t="str">
        <f>IF(ECCapital[[#This Row],[(R), (TE) or (BF)]]="R", ECCapital[[#This Row],[OT Hours Worked (Full Time Only)]]*ECCapital[[#This Row],[Overtime Hourly Wage (Full Time Only)]], "R Only")</f>
        <v>R Only</v>
      </c>
      <c r="K15" s="371"/>
      <c r="L15" s="181"/>
      <c r="M15" s="350"/>
      <c r="N1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6" spans="2:21" s="5" customFormat="1" ht="12.75" x14ac:dyDescent="0.2">
      <c r="C16" s="180"/>
      <c r="D16" s="168" t="s">
        <v>21</v>
      </c>
      <c r="E16" s="241"/>
      <c r="F16" s="241"/>
      <c r="G16" s="366"/>
      <c r="H16" s="375"/>
      <c r="I16" s="181"/>
      <c r="J16" s="377" t="str">
        <f>IF(ECCapital[[#This Row],[(R), (TE) or (BF)]]="R", ECCapital[[#This Row],[OT Hours Worked (Full Time Only)]]*ECCapital[[#This Row],[Overtime Hourly Wage (Full Time Only)]], "R Only")</f>
        <v>R Only</v>
      </c>
      <c r="K16" s="371"/>
      <c r="L16" s="181"/>
      <c r="M16" s="350"/>
      <c r="N1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7" spans="3:15" s="5" customFormat="1" ht="12.75" x14ac:dyDescent="0.2">
      <c r="C17" s="180"/>
      <c r="D17" s="168" t="s">
        <v>21</v>
      </c>
      <c r="E17" s="241"/>
      <c r="F17" s="241"/>
      <c r="G17" s="366"/>
      <c r="H17" s="375"/>
      <c r="I17" s="181"/>
      <c r="J17" s="377" t="str">
        <f>IF(ECCapital[[#This Row],[(R), (TE) or (BF)]]="R", ECCapital[[#This Row],[OT Hours Worked (Full Time Only)]]*ECCapital[[#This Row],[Overtime Hourly Wage (Full Time Only)]], "R Only")</f>
        <v>R Only</v>
      </c>
      <c r="K17" s="371"/>
      <c r="L17" s="181"/>
      <c r="M17" s="350"/>
      <c r="N1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8" spans="3:15" s="5" customFormat="1" ht="12.75" x14ac:dyDescent="0.2">
      <c r="C18" s="180"/>
      <c r="D18" s="168" t="s">
        <v>21</v>
      </c>
      <c r="E18" s="241"/>
      <c r="F18" s="241"/>
      <c r="G18" s="366"/>
      <c r="H18" s="375"/>
      <c r="I18" s="181"/>
      <c r="J18" s="377" t="str">
        <f>IF(ECCapital[[#This Row],[(R), (TE) or (BF)]]="R", ECCapital[[#This Row],[OT Hours Worked (Full Time Only)]]*ECCapital[[#This Row],[Overtime Hourly Wage (Full Time Only)]], "R Only")</f>
        <v>R Only</v>
      </c>
      <c r="K18" s="371"/>
      <c r="L18" s="181"/>
      <c r="M18" s="350"/>
      <c r="N1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19" spans="3:15" s="5" customFormat="1" ht="12.75" x14ac:dyDescent="0.2">
      <c r="C19" s="180"/>
      <c r="D19" s="168" t="s">
        <v>21</v>
      </c>
      <c r="E19" s="241"/>
      <c r="F19" s="241"/>
      <c r="G19" s="366"/>
      <c r="H19" s="375"/>
      <c r="I19" s="181"/>
      <c r="J19" s="377" t="str">
        <f>IF(ECCapital[[#This Row],[(R), (TE) or (BF)]]="R", ECCapital[[#This Row],[OT Hours Worked (Full Time Only)]]*ECCapital[[#This Row],[Overtime Hourly Wage (Full Time Only)]], "R Only")</f>
        <v>R Only</v>
      </c>
      <c r="K19" s="371"/>
      <c r="L19" s="181"/>
      <c r="M19" s="350"/>
      <c r="N1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0" spans="3:15" s="5" customFormat="1" ht="12.75" x14ac:dyDescent="0.2">
      <c r="C20" s="180"/>
      <c r="D20" s="168" t="s">
        <v>21</v>
      </c>
      <c r="E20" s="241"/>
      <c r="F20" s="241"/>
      <c r="G20" s="366"/>
      <c r="H20" s="375"/>
      <c r="I20" s="181"/>
      <c r="J20" s="377" t="str">
        <f>IF(ECCapital[[#This Row],[(R), (TE) or (BF)]]="R", ECCapital[[#This Row],[OT Hours Worked (Full Time Only)]]*ECCapital[[#This Row],[Overtime Hourly Wage (Full Time Only)]], "R Only")</f>
        <v>R Only</v>
      </c>
      <c r="K20" s="371"/>
      <c r="L20" s="181"/>
      <c r="M20" s="350"/>
      <c r="N20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1" spans="3:15" s="5" customFormat="1" ht="12.75" x14ac:dyDescent="0.2">
      <c r="C21" s="180"/>
      <c r="D21" s="168" t="s">
        <v>21</v>
      </c>
      <c r="E21" s="241"/>
      <c r="F21" s="241"/>
      <c r="G21" s="366"/>
      <c r="H21" s="375"/>
      <c r="I21" s="181"/>
      <c r="J21" s="377" t="str">
        <f>IF(ECCapital[[#This Row],[(R), (TE) or (BF)]]="R", ECCapital[[#This Row],[OT Hours Worked (Full Time Only)]]*ECCapital[[#This Row],[Overtime Hourly Wage (Full Time Only)]], "R Only")</f>
        <v>R Only</v>
      </c>
      <c r="K21" s="371"/>
      <c r="L21" s="181"/>
      <c r="M21" s="350"/>
      <c r="N21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2" spans="3:15" s="5" customFormat="1" ht="12.75" x14ac:dyDescent="0.2">
      <c r="C22" s="182"/>
      <c r="D22" s="168" t="s">
        <v>21</v>
      </c>
      <c r="E22" s="241"/>
      <c r="F22" s="241"/>
      <c r="G22" s="366"/>
      <c r="H22" s="375"/>
      <c r="I22" s="181"/>
      <c r="J22" s="377" t="str">
        <f>IF(ECCapital[[#This Row],[(R), (TE) or (BF)]]="R", ECCapital[[#This Row],[OT Hours Worked (Full Time Only)]]*ECCapital[[#This Row],[Overtime Hourly Wage (Full Time Only)]], "R Only")</f>
        <v>R Only</v>
      </c>
      <c r="K22" s="371"/>
      <c r="L22" s="181"/>
      <c r="M22" s="350"/>
      <c r="N22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3" spans="3:15" s="5" customFormat="1" ht="12.75" x14ac:dyDescent="0.2">
      <c r="C23" s="182"/>
      <c r="D23" s="168" t="s">
        <v>21</v>
      </c>
      <c r="E23" s="241"/>
      <c r="F23" s="241"/>
      <c r="G23" s="366"/>
      <c r="H23" s="375"/>
      <c r="I23" s="181"/>
      <c r="J23" s="377" t="str">
        <f>IF(ECCapital[[#This Row],[(R), (TE) or (BF)]]="R", ECCapital[[#This Row],[OT Hours Worked (Full Time Only)]]*ECCapital[[#This Row],[Overtime Hourly Wage (Full Time Only)]], "R Only")</f>
        <v>R Only</v>
      </c>
      <c r="K23" s="371"/>
      <c r="L23" s="181"/>
      <c r="M23" s="350"/>
      <c r="N23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4" spans="3:15" s="5" customFormat="1" ht="12.75" x14ac:dyDescent="0.2">
      <c r="C24" s="182"/>
      <c r="D24" s="168" t="s">
        <v>21</v>
      </c>
      <c r="E24" s="241"/>
      <c r="F24" s="241"/>
      <c r="G24" s="366"/>
      <c r="H24" s="375"/>
      <c r="I24" s="181"/>
      <c r="J24" s="377" t="str">
        <f>IF(ECCapital[[#This Row],[(R), (TE) or (BF)]]="R", ECCapital[[#This Row],[OT Hours Worked (Full Time Only)]]*ECCapital[[#This Row],[Overtime Hourly Wage (Full Time Only)]], "R Only")</f>
        <v>R Only</v>
      </c>
      <c r="K24" s="371"/>
      <c r="L24" s="181"/>
      <c r="M24" s="350"/>
      <c r="N24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5" spans="3:15" s="5" customFormat="1" ht="12.75" x14ac:dyDescent="0.2">
      <c r="C25" s="182"/>
      <c r="D25" s="168" t="s">
        <v>21</v>
      </c>
      <c r="E25" s="241"/>
      <c r="F25" s="241"/>
      <c r="G25" s="366"/>
      <c r="H25" s="375"/>
      <c r="I25" s="181"/>
      <c r="J25" s="377" t="str">
        <f>IF(ECCapital[[#This Row],[(R), (TE) or (BF)]]="R", ECCapital[[#This Row],[OT Hours Worked (Full Time Only)]]*ECCapital[[#This Row],[Overtime Hourly Wage (Full Time Only)]], "R Only")</f>
        <v>R Only</v>
      </c>
      <c r="K25" s="371"/>
      <c r="L25" s="181"/>
      <c r="M25" s="350"/>
      <c r="N25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6" spans="3:15" s="5" customFormat="1" ht="12.75" x14ac:dyDescent="0.2">
      <c r="C26" s="182"/>
      <c r="D26" s="168" t="s">
        <v>21</v>
      </c>
      <c r="E26" s="241"/>
      <c r="F26" s="241"/>
      <c r="G26" s="366"/>
      <c r="H26" s="375"/>
      <c r="I26" s="181"/>
      <c r="J26" s="377" t="str">
        <f>IF(ECCapital[[#This Row],[(R), (TE) or (BF)]]="R", ECCapital[[#This Row],[OT Hours Worked (Full Time Only)]]*ECCapital[[#This Row],[Overtime Hourly Wage (Full Time Only)]], "R Only")</f>
        <v>R Only</v>
      </c>
      <c r="K26" s="371"/>
      <c r="L26" s="181"/>
      <c r="M26" s="350"/>
      <c r="N26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7" spans="3:15" s="5" customFormat="1" ht="12.75" x14ac:dyDescent="0.2">
      <c r="C27" s="180"/>
      <c r="D27" s="168" t="s">
        <v>21</v>
      </c>
      <c r="E27" s="241"/>
      <c r="F27" s="241"/>
      <c r="G27" s="366"/>
      <c r="H27" s="375"/>
      <c r="I27" s="181"/>
      <c r="J27" s="377" t="str">
        <f>IF(ECCapital[[#This Row],[(R), (TE) or (BF)]]="R", ECCapital[[#This Row],[OT Hours Worked (Full Time Only)]]*ECCapital[[#This Row],[Overtime Hourly Wage (Full Time Only)]], "R Only")</f>
        <v>R Only</v>
      </c>
      <c r="K27" s="371"/>
      <c r="L27" s="181"/>
      <c r="M27" s="350"/>
      <c r="N27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8" spans="3:15" s="38" customFormat="1" ht="12.75" x14ac:dyDescent="0.2">
      <c r="C28" s="180"/>
      <c r="D28" s="168" t="s">
        <v>21</v>
      </c>
      <c r="E28" s="241"/>
      <c r="F28" s="241"/>
      <c r="G28" s="366"/>
      <c r="H28" s="375"/>
      <c r="I28" s="181"/>
      <c r="J28" s="377" t="str">
        <f>IF(ECCapital[[#This Row],[(R), (TE) or (BF)]]="R", ECCapital[[#This Row],[OT Hours Worked (Full Time Only)]]*ECCapital[[#This Row],[Overtime Hourly Wage (Full Time Only)]], "R Only")</f>
        <v>R Only</v>
      </c>
      <c r="K28" s="371"/>
      <c r="L28" s="181"/>
      <c r="M28" s="350"/>
      <c r="N28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</row>
    <row r="29" spans="3:15" x14ac:dyDescent="0.2">
      <c r="C29" s="180"/>
      <c r="D29" s="168" t="s">
        <v>21</v>
      </c>
      <c r="E29" s="241"/>
      <c r="F29" s="241"/>
      <c r="G29" s="366"/>
      <c r="H29" s="375"/>
      <c r="I29" s="181"/>
      <c r="J29" s="377" t="str">
        <f>IF(ECCapital[[#This Row],[(R), (TE) or (BF)]]="R", ECCapital[[#This Row],[OT Hours Worked (Full Time Only)]]*ECCapital[[#This Row],[Overtime Hourly Wage (Full Time Only)]], "R Only")</f>
        <v>R Only</v>
      </c>
      <c r="K29" s="371"/>
      <c r="L29" s="181"/>
      <c r="M29" s="350"/>
      <c r="N29" s="179">
        <f>IF(ECCapital[[#This Row],[(R), (TE) or (BF)]]="R", SUM(ECCapital[[#This Row],[Total Wage (Full Time Only)]],ECCapital[[#This Row],[Benefits]]), SUM(ECCapital[[#This Row],[Amount Claimed (Temp or Backfill)]], ECCapital[[#This Row],[Benefits]]))</f>
        <v>0</v>
      </c>
      <c r="O29" s="5"/>
    </row>
    <row r="30" spans="3:15" ht="15" thickBot="1" x14ac:dyDescent="0.25">
      <c r="C30" s="5"/>
      <c r="D30" s="5"/>
      <c r="E30" s="5"/>
      <c r="F30" s="5"/>
      <c r="G30" s="8" t="s">
        <v>4</v>
      </c>
      <c r="H30" s="176"/>
      <c r="I30" s="177"/>
      <c r="J30" s="178">
        <f>SUM(ECCapital[Total Wage (Full Time Only)])</f>
        <v>40</v>
      </c>
      <c r="K30" s="148">
        <f>SUM(ECCapital[[#All],[Amount Claimed (Temp or Backfill)]])</f>
        <v>0</v>
      </c>
      <c r="L30" s="149">
        <f>SUM(ECCapital[Benefits])</f>
        <v>0</v>
      </c>
      <c r="M30" s="24" t="s">
        <v>63</v>
      </c>
      <c r="N30" s="149">
        <f>SUM(ECCapital[Total Cost])</f>
        <v>40</v>
      </c>
    </row>
    <row r="31" spans="3:15" x14ac:dyDescent="0.2">
      <c r="C31" s="5"/>
      <c r="D31" s="5"/>
      <c r="E31" s="5"/>
      <c r="F31" s="5"/>
      <c r="G31" s="5"/>
      <c r="H31" s="5"/>
      <c r="I31" s="5"/>
      <c r="J31" s="6"/>
      <c r="K31" s="6"/>
      <c r="L31" s="16"/>
      <c r="M31" s="5"/>
      <c r="N31" s="5"/>
    </row>
    <row r="32" spans="3:15" x14ac:dyDescent="0.2">
      <c r="C32" s="5"/>
      <c r="D32" s="5"/>
      <c r="E32" s="5"/>
      <c r="F32" s="5"/>
      <c r="G32" s="5"/>
      <c r="H32" s="5"/>
      <c r="I32" s="5"/>
      <c r="J32" s="6"/>
      <c r="K32" s="6"/>
      <c r="L32" s="16"/>
      <c r="M32" s="5"/>
      <c r="N32" s="5"/>
    </row>
    <row r="33" spans="3:14" x14ac:dyDescent="0.2">
      <c r="C33" s="5"/>
      <c r="D33" s="5"/>
      <c r="E33" s="5"/>
      <c r="F33" s="5"/>
      <c r="G33" s="5"/>
      <c r="H33" s="5"/>
      <c r="I33" s="5"/>
      <c r="J33" s="6"/>
      <c r="K33" s="6"/>
      <c r="L33" s="16"/>
      <c r="M33" s="5"/>
      <c r="N33" s="5"/>
    </row>
    <row r="34" spans="3:14" x14ac:dyDescent="0.2">
      <c r="C34" s="5"/>
      <c r="D34" s="5"/>
      <c r="E34" s="5"/>
      <c r="F34" s="5"/>
      <c r="G34" s="5"/>
      <c r="H34" s="5"/>
      <c r="I34" s="5"/>
      <c r="J34" s="6"/>
      <c r="K34" s="6"/>
      <c r="L34" s="16"/>
      <c r="M34" s="5"/>
      <c r="N34" s="5"/>
    </row>
    <row r="35" spans="3:14" x14ac:dyDescent="0.2">
      <c r="C35" s="5"/>
      <c r="D35" s="5"/>
      <c r="E35" s="5"/>
      <c r="F35" s="5"/>
      <c r="G35" s="5"/>
      <c r="H35" s="5"/>
      <c r="I35" s="5"/>
      <c r="J35" s="6"/>
      <c r="K35" s="6"/>
      <c r="L35" s="16"/>
      <c r="M35" s="5"/>
      <c r="N35" s="5"/>
    </row>
    <row r="36" spans="3:14" x14ac:dyDescent="0.2">
      <c r="C36" s="5"/>
      <c r="D36" s="5"/>
      <c r="E36" s="5"/>
      <c r="F36" s="5"/>
      <c r="G36" s="5"/>
      <c r="H36" s="5"/>
      <c r="I36" s="5"/>
      <c r="J36" s="6"/>
      <c r="K36" s="6"/>
      <c r="L36" s="16"/>
      <c r="M36" s="5"/>
      <c r="N36" s="5"/>
    </row>
    <row r="37" spans="3:14" x14ac:dyDescent="0.2">
      <c r="C37" s="5"/>
      <c r="D37" s="5"/>
      <c r="E37" s="5"/>
      <c r="F37" s="5"/>
      <c r="G37" s="5"/>
      <c r="H37" s="5"/>
      <c r="I37" s="5"/>
      <c r="J37" s="6"/>
      <c r="K37" s="6"/>
      <c r="L37" s="16"/>
      <c r="M37" s="5"/>
      <c r="N37" s="5"/>
    </row>
    <row r="38" spans="3:14" x14ac:dyDescent="0.2">
      <c r="C38" s="5"/>
      <c r="D38" s="5"/>
      <c r="E38" s="5"/>
      <c r="F38" s="5"/>
      <c r="G38" s="5"/>
      <c r="H38" s="5"/>
      <c r="I38" s="5"/>
      <c r="J38" s="6"/>
      <c r="K38" s="6"/>
      <c r="L38" s="16"/>
      <c r="M38" s="5"/>
      <c r="N38" s="5"/>
    </row>
    <row r="39" spans="3:14" x14ac:dyDescent="0.2">
      <c r="C39" s="5"/>
      <c r="D39" s="5"/>
      <c r="E39" s="5"/>
      <c r="F39" s="5"/>
      <c r="G39" s="5"/>
      <c r="H39" s="5"/>
      <c r="I39" s="5"/>
      <c r="J39" s="6"/>
      <c r="K39" s="6"/>
      <c r="L39" s="16"/>
      <c r="M39" s="5"/>
      <c r="N39" s="5"/>
    </row>
    <row r="40" spans="3:14" x14ac:dyDescent="0.2">
      <c r="M40" s="5"/>
      <c r="N40" s="5"/>
    </row>
    <row r="41" spans="3:14" x14ac:dyDescent="0.2">
      <c r="M41" s="5"/>
      <c r="N41" s="5"/>
    </row>
    <row r="42" spans="3:14" x14ac:dyDescent="0.2">
      <c r="M42" s="5"/>
      <c r="N42" s="5"/>
    </row>
    <row r="43" spans="3:14" x14ac:dyDescent="0.2">
      <c r="M43" s="5"/>
      <c r="N43" s="5"/>
    </row>
    <row r="44" spans="3:14" x14ac:dyDescent="0.2">
      <c r="M44" s="5"/>
      <c r="N44" s="5"/>
    </row>
    <row r="45" spans="3:14" x14ac:dyDescent="0.2">
      <c r="M45" s="5"/>
    </row>
    <row r="46" spans="3:14" x14ac:dyDescent="0.2">
      <c r="M46" s="5"/>
    </row>
    <row r="47" spans="3:14" x14ac:dyDescent="0.2">
      <c r="M47" s="5"/>
    </row>
    <row r="48" spans="3:14" x14ac:dyDescent="0.2">
      <c r="M48" s="5"/>
    </row>
  </sheetData>
  <sheetProtection selectLockedCells="1"/>
  <mergeCells count="4">
    <mergeCell ref="D3:N3"/>
    <mergeCell ref="B11:B12"/>
    <mergeCell ref="H9:J9"/>
    <mergeCell ref="D2:F2"/>
  </mergeCells>
  <conditionalFormatting sqref="M14:M29">
    <cfRule type="expression" dxfId="128" priority="3" stopIfTrue="1">
      <formula>$N14=0</formula>
    </cfRule>
    <cfRule type="expression" dxfId="127" priority="4">
      <formula>$M14=0</formula>
    </cfRule>
  </conditionalFormatting>
  <dataValidations count="6">
    <dataValidation type="list" allowBlank="1" showInputMessage="1" showErrorMessage="1" sqref="D11:D12">
      <formula1>$U$2:$U$4</formula1>
    </dataValidation>
    <dataValidation type="list" allowBlank="1" showInputMessage="1" showErrorMessage="1" sqref="D14:D29">
      <formula1>$C$5:$C$8</formula1>
    </dataValidation>
    <dataValidation type="date" allowBlank="1" showErrorMessage="1" errorTitle="Error" error="Please enter a valid date in the format YYYY/MM/DD" promptTitle="Date Format" prompt="Enter dates as MM/DD/YYYY" sqref="E15:F29">
      <formula1>41640</formula1>
      <formula2>73415</formula2>
    </dataValidation>
    <dataValidation type="decimal" allowBlank="1" showInputMessage="1" showErrorMessage="1" errorTitle="Error" error="Please enter a valid number" sqref="H14:H29">
      <formula1>0</formula1>
      <formula2>500000000</formula2>
    </dataValidation>
    <dataValidation type="decimal" allowBlank="1" showInputMessage="1" showErrorMessage="1" errorTitle="Error" error="Please enter a dollar value" sqref="K14:L29 I14:I29">
      <formula1>0</formula1>
      <formula2>500000000</formula2>
    </dataValidation>
    <dataValidation type="date" allowBlank="1" showErrorMessage="1" errorTitle="Error" error="Please enter a valid date in the format YYYY/MM/DD" sqref="E14:F14">
      <formula1>41640</formula1>
      <formula2>73415</formula2>
    </dataValidation>
  </dataValidations>
  <pageMargins left="0.25" right="0.25" top="0.75" bottom="0.75" header="0.3" footer="0.3"/>
  <pageSetup paperSize="5" scale="74" fitToHeight="0" orientation="landscape" horizontalDpi="300" verticalDpi="300" r:id="rId1"/>
  <headerFooter>
    <oddHeader>&amp;L&amp;G&amp;C&amp;"Arial,Bold"&amp;18&amp;K000000Employee  Capital Costs&amp;R&amp;"Arial,Bold"&amp;K000000Employee  Capital Costs</oddHeader>
    <oddFooter>&amp;RPage &amp;P of &amp;N</oddFooter>
  </headerFooter>
  <ignoredErrors>
    <ignoredError sqref="J11:J12" calculatedColumn="1"/>
    <ignoredError sqref="D11" listDataValidation="1"/>
  </ignoredErrors>
  <drawing r:id="rId2"/>
  <legacyDrawingHF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C000"/>
    <pageSetUpPr fitToPage="1"/>
  </sheetPr>
  <dimension ref="B1:N33"/>
  <sheetViews>
    <sheetView showGridLines="0" zoomScale="90" zoomScaleNormal="90" zoomScalePageLayoutView="80" workbookViewId="0">
      <pane ySplit="9" topLeftCell="A10" activePane="bottomLeft" state="frozen"/>
      <selection pane="bottomLeft" activeCell="C13" sqref="C13:G13"/>
    </sheetView>
  </sheetViews>
  <sheetFormatPr defaultRowHeight="12.75" x14ac:dyDescent="0.2"/>
  <cols>
    <col min="1" max="1" width="1" style="38" customWidth="1"/>
    <col min="2" max="2" width="3.375" style="38" customWidth="1"/>
    <col min="3" max="3" width="12" style="63" customWidth="1"/>
    <col min="4" max="4" width="12.25" style="38" customWidth="1"/>
    <col min="5" max="5" width="17.625" style="38" customWidth="1"/>
    <col min="6" max="6" width="16.625" style="38" customWidth="1"/>
    <col min="7" max="7" width="13" style="38" customWidth="1"/>
    <col min="8" max="8" width="9.875" style="38" customWidth="1"/>
    <col min="9" max="9" width="13.875" style="38" customWidth="1"/>
    <col min="10" max="10" width="18.625" style="38" customWidth="1"/>
    <col min="11" max="11" width="27.75" style="38" customWidth="1"/>
    <col min="12" max="12" width="16.875" style="38" customWidth="1"/>
    <col min="13" max="13" width="22.125" style="38" customWidth="1"/>
    <col min="14" max="14" width="25.125" style="44" customWidth="1"/>
    <col min="15" max="15" width="14.375" style="38" customWidth="1"/>
    <col min="16" max="255" width="8" style="38"/>
    <col min="256" max="256" width="1" style="38" customWidth="1"/>
    <col min="257" max="257" width="16.25" style="38" customWidth="1"/>
    <col min="258" max="258" width="18.625" style="38" customWidth="1"/>
    <col min="259" max="259" width="6" style="38" customWidth="1"/>
    <col min="260" max="260" width="15.875" style="38" customWidth="1"/>
    <col min="261" max="261" width="10.375" style="38" customWidth="1"/>
    <col min="262" max="262" width="32.125" style="38" customWidth="1"/>
    <col min="263" max="263" width="13.625" style="38" customWidth="1"/>
    <col min="264" max="264" width="7.125" style="38" customWidth="1"/>
    <col min="265" max="265" width="4.375" style="38" customWidth="1"/>
    <col min="266" max="268" width="9.375" style="38" customWidth="1"/>
    <col min="269" max="511" width="8" style="38"/>
    <col min="512" max="512" width="1" style="38" customWidth="1"/>
    <col min="513" max="513" width="16.25" style="38" customWidth="1"/>
    <col min="514" max="514" width="18.625" style="38" customWidth="1"/>
    <col min="515" max="515" width="6" style="38" customWidth="1"/>
    <col min="516" max="516" width="15.875" style="38" customWidth="1"/>
    <col min="517" max="517" width="10.375" style="38" customWidth="1"/>
    <col min="518" max="518" width="32.125" style="38" customWidth="1"/>
    <col min="519" max="519" width="13.625" style="38" customWidth="1"/>
    <col min="520" max="520" width="7.125" style="38" customWidth="1"/>
    <col min="521" max="521" width="4.375" style="38" customWidth="1"/>
    <col min="522" max="524" width="9.375" style="38" customWidth="1"/>
    <col min="525" max="767" width="8" style="38"/>
    <col min="768" max="768" width="1" style="38" customWidth="1"/>
    <col min="769" max="769" width="16.25" style="38" customWidth="1"/>
    <col min="770" max="770" width="18.625" style="38" customWidth="1"/>
    <col min="771" max="771" width="6" style="38" customWidth="1"/>
    <col min="772" max="772" width="15.875" style="38" customWidth="1"/>
    <col min="773" max="773" width="10.375" style="38" customWidth="1"/>
    <col min="774" max="774" width="32.125" style="38" customWidth="1"/>
    <col min="775" max="775" width="13.625" style="38" customWidth="1"/>
    <col min="776" max="776" width="7.125" style="38" customWidth="1"/>
    <col min="777" max="777" width="4.375" style="38" customWidth="1"/>
    <col min="778" max="780" width="9.375" style="38" customWidth="1"/>
    <col min="781" max="1023" width="9" style="38"/>
    <col min="1024" max="1024" width="1" style="38" customWidth="1"/>
    <col min="1025" max="1025" width="16.25" style="38" customWidth="1"/>
    <col min="1026" max="1026" width="18.625" style="38" customWidth="1"/>
    <col min="1027" max="1027" width="6" style="38" customWidth="1"/>
    <col min="1028" max="1028" width="15.875" style="38" customWidth="1"/>
    <col min="1029" max="1029" width="10.375" style="38" customWidth="1"/>
    <col min="1030" max="1030" width="32.125" style="38" customWidth="1"/>
    <col min="1031" max="1031" width="13.625" style="38" customWidth="1"/>
    <col min="1032" max="1032" width="7.125" style="38" customWidth="1"/>
    <col min="1033" max="1033" width="4.375" style="38" customWidth="1"/>
    <col min="1034" max="1036" width="9.375" style="38" customWidth="1"/>
    <col min="1037" max="1279" width="8" style="38"/>
    <col min="1280" max="1280" width="1" style="38" customWidth="1"/>
    <col min="1281" max="1281" width="16.25" style="38" customWidth="1"/>
    <col min="1282" max="1282" width="18.625" style="38" customWidth="1"/>
    <col min="1283" max="1283" width="6" style="38" customWidth="1"/>
    <col min="1284" max="1284" width="15.875" style="38" customWidth="1"/>
    <col min="1285" max="1285" width="10.375" style="38" customWidth="1"/>
    <col min="1286" max="1286" width="32.125" style="38" customWidth="1"/>
    <col min="1287" max="1287" width="13.625" style="38" customWidth="1"/>
    <col min="1288" max="1288" width="7.125" style="38" customWidth="1"/>
    <col min="1289" max="1289" width="4.375" style="38" customWidth="1"/>
    <col min="1290" max="1292" width="9.375" style="38" customWidth="1"/>
    <col min="1293" max="1535" width="8" style="38"/>
    <col min="1536" max="1536" width="1" style="38" customWidth="1"/>
    <col min="1537" max="1537" width="16.25" style="38" customWidth="1"/>
    <col min="1538" max="1538" width="18.625" style="38" customWidth="1"/>
    <col min="1539" max="1539" width="6" style="38" customWidth="1"/>
    <col min="1540" max="1540" width="15.875" style="38" customWidth="1"/>
    <col min="1541" max="1541" width="10.375" style="38" customWidth="1"/>
    <col min="1542" max="1542" width="32.125" style="38" customWidth="1"/>
    <col min="1543" max="1543" width="13.625" style="38" customWidth="1"/>
    <col min="1544" max="1544" width="7.125" style="38" customWidth="1"/>
    <col min="1545" max="1545" width="4.375" style="38" customWidth="1"/>
    <col min="1546" max="1548" width="9.375" style="38" customWidth="1"/>
    <col min="1549" max="1791" width="8" style="38"/>
    <col min="1792" max="1792" width="1" style="38" customWidth="1"/>
    <col min="1793" max="1793" width="16.25" style="38" customWidth="1"/>
    <col min="1794" max="1794" width="18.625" style="38" customWidth="1"/>
    <col min="1795" max="1795" width="6" style="38" customWidth="1"/>
    <col min="1796" max="1796" width="15.875" style="38" customWidth="1"/>
    <col min="1797" max="1797" width="10.375" style="38" customWidth="1"/>
    <col min="1798" max="1798" width="32.125" style="38" customWidth="1"/>
    <col min="1799" max="1799" width="13.625" style="38" customWidth="1"/>
    <col min="1800" max="1800" width="7.125" style="38" customWidth="1"/>
    <col min="1801" max="1801" width="4.375" style="38" customWidth="1"/>
    <col min="1802" max="1804" width="9.375" style="38" customWidth="1"/>
    <col min="1805" max="2047" width="9" style="38"/>
    <col min="2048" max="2048" width="1" style="38" customWidth="1"/>
    <col min="2049" max="2049" width="16.25" style="38" customWidth="1"/>
    <col min="2050" max="2050" width="18.625" style="38" customWidth="1"/>
    <col min="2051" max="2051" width="6" style="38" customWidth="1"/>
    <col min="2052" max="2052" width="15.875" style="38" customWidth="1"/>
    <col min="2053" max="2053" width="10.375" style="38" customWidth="1"/>
    <col min="2054" max="2054" width="32.125" style="38" customWidth="1"/>
    <col min="2055" max="2055" width="13.625" style="38" customWidth="1"/>
    <col min="2056" max="2056" width="7.125" style="38" customWidth="1"/>
    <col min="2057" max="2057" width="4.375" style="38" customWidth="1"/>
    <col min="2058" max="2060" width="9.375" style="38" customWidth="1"/>
    <col min="2061" max="2303" width="8" style="38"/>
    <col min="2304" max="2304" width="1" style="38" customWidth="1"/>
    <col min="2305" max="2305" width="16.25" style="38" customWidth="1"/>
    <col min="2306" max="2306" width="18.625" style="38" customWidth="1"/>
    <col min="2307" max="2307" width="6" style="38" customWidth="1"/>
    <col min="2308" max="2308" width="15.875" style="38" customWidth="1"/>
    <col min="2309" max="2309" width="10.375" style="38" customWidth="1"/>
    <col min="2310" max="2310" width="32.125" style="38" customWidth="1"/>
    <col min="2311" max="2311" width="13.625" style="38" customWidth="1"/>
    <col min="2312" max="2312" width="7.125" style="38" customWidth="1"/>
    <col min="2313" max="2313" width="4.375" style="38" customWidth="1"/>
    <col min="2314" max="2316" width="9.375" style="38" customWidth="1"/>
    <col min="2317" max="2559" width="8" style="38"/>
    <col min="2560" max="2560" width="1" style="38" customWidth="1"/>
    <col min="2561" max="2561" width="16.25" style="38" customWidth="1"/>
    <col min="2562" max="2562" width="18.625" style="38" customWidth="1"/>
    <col min="2563" max="2563" width="6" style="38" customWidth="1"/>
    <col min="2564" max="2564" width="15.875" style="38" customWidth="1"/>
    <col min="2565" max="2565" width="10.375" style="38" customWidth="1"/>
    <col min="2566" max="2566" width="32.125" style="38" customWidth="1"/>
    <col min="2567" max="2567" width="13.625" style="38" customWidth="1"/>
    <col min="2568" max="2568" width="7.125" style="38" customWidth="1"/>
    <col min="2569" max="2569" width="4.375" style="38" customWidth="1"/>
    <col min="2570" max="2572" width="9.375" style="38" customWidth="1"/>
    <col min="2573" max="2815" width="8" style="38"/>
    <col min="2816" max="2816" width="1" style="38" customWidth="1"/>
    <col min="2817" max="2817" width="16.25" style="38" customWidth="1"/>
    <col min="2818" max="2818" width="18.625" style="38" customWidth="1"/>
    <col min="2819" max="2819" width="6" style="38" customWidth="1"/>
    <col min="2820" max="2820" width="15.875" style="38" customWidth="1"/>
    <col min="2821" max="2821" width="10.375" style="38" customWidth="1"/>
    <col min="2822" max="2822" width="32.125" style="38" customWidth="1"/>
    <col min="2823" max="2823" width="13.625" style="38" customWidth="1"/>
    <col min="2824" max="2824" width="7.125" style="38" customWidth="1"/>
    <col min="2825" max="2825" width="4.375" style="38" customWidth="1"/>
    <col min="2826" max="2828" width="9.375" style="38" customWidth="1"/>
    <col min="2829" max="3071" width="9" style="38"/>
    <col min="3072" max="3072" width="1" style="38" customWidth="1"/>
    <col min="3073" max="3073" width="16.25" style="38" customWidth="1"/>
    <col min="3074" max="3074" width="18.625" style="38" customWidth="1"/>
    <col min="3075" max="3075" width="6" style="38" customWidth="1"/>
    <col min="3076" max="3076" width="15.875" style="38" customWidth="1"/>
    <col min="3077" max="3077" width="10.375" style="38" customWidth="1"/>
    <col min="3078" max="3078" width="32.125" style="38" customWidth="1"/>
    <col min="3079" max="3079" width="13.625" style="38" customWidth="1"/>
    <col min="3080" max="3080" width="7.125" style="38" customWidth="1"/>
    <col min="3081" max="3081" width="4.375" style="38" customWidth="1"/>
    <col min="3082" max="3084" width="9.375" style="38" customWidth="1"/>
    <col min="3085" max="3327" width="8" style="38"/>
    <col min="3328" max="3328" width="1" style="38" customWidth="1"/>
    <col min="3329" max="3329" width="16.25" style="38" customWidth="1"/>
    <col min="3330" max="3330" width="18.625" style="38" customWidth="1"/>
    <col min="3331" max="3331" width="6" style="38" customWidth="1"/>
    <col min="3332" max="3332" width="15.875" style="38" customWidth="1"/>
    <col min="3333" max="3333" width="10.375" style="38" customWidth="1"/>
    <col min="3334" max="3334" width="32.125" style="38" customWidth="1"/>
    <col min="3335" max="3335" width="13.625" style="38" customWidth="1"/>
    <col min="3336" max="3336" width="7.125" style="38" customWidth="1"/>
    <col min="3337" max="3337" width="4.375" style="38" customWidth="1"/>
    <col min="3338" max="3340" width="9.375" style="38" customWidth="1"/>
    <col min="3341" max="3583" width="8" style="38"/>
    <col min="3584" max="3584" width="1" style="38" customWidth="1"/>
    <col min="3585" max="3585" width="16.25" style="38" customWidth="1"/>
    <col min="3586" max="3586" width="18.625" style="38" customWidth="1"/>
    <col min="3587" max="3587" width="6" style="38" customWidth="1"/>
    <col min="3588" max="3588" width="15.875" style="38" customWidth="1"/>
    <col min="3589" max="3589" width="10.375" style="38" customWidth="1"/>
    <col min="3590" max="3590" width="32.125" style="38" customWidth="1"/>
    <col min="3591" max="3591" width="13.625" style="38" customWidth="1"/>
    <col min="3592" max="3592" width="7.125" style="38" customWidth="1"/>
    <col min="3593" max="3593" width="4.375" style="38" customWidth="1"/>
    <col min="3594" max="3596" width="9.375" style="38" customWidth="1"/>
    <col min="3597" max="3839" width="8" style="38"/>
    <col min="3840" max="3840" width="1" style="38" customWidth="1"/>
    <col min="3841" max="3841" width="16.25" style="38" customWidth="1"/>
    <col min="3842" max="3842" width="18.625" style="38" customWidth="1"/>
    <col min="3843" max="3843" width="6" style="38" customWidth="1"/>
    <col min="3844" max="3844" width="15.875" style="38" customWidth="1"/>
    <col min="3845" max="3845" width="10.375" style="38" customWidth="1"/>
    <col min="3846" max="3846" width="32.125" style="38" customWidth="1"/>
    <col min="3847" max="3847" width="13.625" style="38" customWidth="1"/>
    <col min="3848" max="3848" width="7.125" style="38" customWidth="1"/>
    <col min="3849" max="3849" width="4.375" style="38" customWidth="1"/>
    <col min="3850" max="3852" width="9.375" style="38" customWidth="1"/>
    <col min="3853" max="4095" width="9" style="38"/>
    <col min="4096" max="4096" width="1" style="38" customWidth="1"/>
    <col min="4097" max="4097" width="16.25" style="38" customWidth="1"/>
    <col min="4098" max="4098" width="18.625" style="38" customWidth="1"/>
    <col min="4099" max="4099" width="6" style="38" customWidth="1"/>
    <col min="4100" max="4100" width="15.875" style="38" customWidth="1"/>
    <col min="4101" max="4101" width="10.375" style="38" customWidth="1"/>
    <col min="4102" max="4102" width="32.125" style="38" customWidth="1"/>
    <col min="4103" max="4103" width="13.625" style="38" customWidth="1"/>
    <col min="4104" max="4104" width="7.125" style="38" customWidth="1"/>
    <col min="4105" max="4105" width="4.375" style="38" customWidth="1"/>
    <col min="4106" max="4108" width="9.375" style="38" customWidth="1"/>
    <col min="4109" max="4351" width="8" style="38"/>
    <col min="4352" max="4352" width="1" style="38" customWidth="1"/>
    <col min="4353" max="4353" width="16.25" style="38" customWidth="1"/>
    <col min="4354" max="4354" width="18.625" style="38" customWidth="1"/>
    <col min="4355" max="4355" width="6" style="38" customWidth="1"/>
    <col min="4356" max="4356" width="15.875" style="38" customWidth="1"/>
    <col min="4357" max="4357" width="10.375" style="38" customWidth="1"/>
    <col min="4358" max="4358" width="32.125" style="38" customWidth="1"/>
    <col min="4359" max="4359" width="13.625" style="38" customWidth="1"/>
    <col min="4360" max="4360" width="7.125" style="38" customWidth="1"/>
    <col min="4361" max="4361" width="4.375" style="38" customWidth="1"/>
    <col min="4362" max="4364" width="9.375" style="38" customWidth="1"/>
    <col min="4365" max="4607" width="8" style="38"/>
    <col min="4608" max="4608" width="1" style="38" customWidth="1"/>
    <col min="4609" max="4609" width="16.25" style="38" customWidth="1"/>
    <col min="4610" max="4610" width="18.625" style="38" customWidth="1"/>
    <col min="4611" max="4611" width="6" style="38" customWidth="1"/>
    <col min="4612" max="4612" width="15.875" style="38" customWidth="1"/>
    <col min="4613" max="4613" width="10.375" style="38" customWidth="1"/>
    <col min="4614" max="4614" width="32.125" style="38" customWidth="1"/>
    <col min="4615" max="4615" width="13.625" style="38" customWidth="1"/>
    <col min="4616" max="4616" width="7.125" style="38" customWidth="1"/>
    <col min="4617" max="4617" width="4.375" style="38" customWidth="1"/>
    <col min="4618" max="4620" width="9.375" style="38" customWidth="1"/>
    <col min="4621" max="4863" width="8" style="38"/>
    <col min="4864" max="4864" width="1" style="38" customWidth="1"/>
    <col min="4865" max="4865" width="16.25" style="38" customWidth="1"/>
    <col min="4866" max="4866" width="18.625" style="38" customWidth="1"/>
    <col min="4867" max="4867" width="6" style="38" customWidth="1"/>
    <col min="4868" max="4868" width="15.875" style="38" customWidth="1"/>
    <col min="4869" max="4869" width="10.375" style="38" customWidth="1"/>
    <col min="4870" max="4870" width="32.125" style="38" customWidth="1"/>
    <col min="4871" max="4871" width="13.625" style="38" customWidth="1"/>
    <col min="4872" max="4872" width="7.125" style="38" customWidth="1"/>
    <col min="4873" max="4873" width="4.375" style="38" customWidth="1"/>
    <col min="4874" max="4876" width="9.375" style="38" customWidth="1"/>
    <col min="4877" max="5119" width="9" style="38"/>
    <col min="5120" max="5120" width="1" style="38" customWidth="1"/>
    <col min="5121" max="5121" width="16.25" style="38" customWidth="1"/>
    <col min="5122" max="5122" width="18.625" style="38" customWidth="1"/>
    <col min="5123" max="5123" width="6" style="38" customWidth="1"/>
    <col min="5124" max="5124" width="15.875" style="38" customWidth="1"/>
    <col min="5125" max="5125" width="10.375" style="38" customWidth="1"/>
    <col min="5126" max="5126" width="32.125" style="38" customWidth="1"/>
    <col min="5127" max="5127" width="13.625" style="38" customWidth="1"/>
    <col min="5128" max="5128" width="7.125" style="38" customWidth="1"/>
    <col min="5129" max="5129" width="4.375" style="38" customWidth="1"/>
    <col min="5130" max="5132" width="9.375" style="38" customWidth="1"/>
    <col min="5133" max="5375" width="8" style="38"/>
    <col min="5376" max="5376" width="1" style="38" customWidth="1"/>
    <col min="5377" max="5377" width="16.25" style="38" customWidth="1"/>
    <col min="5378" max="5378" width="18.625" style="38" customWidth="1"/>
    <col min="5379" max="5379" width="6" style="38" customWidth="1"/>
    <col min="5380" max="5380" width="15.875" style="38" customWidth="1"/>
    <col min="5381" max="5381" width="10.375" style="38" customWidth="1"/>
    <col min="5382" max="5382" width="32.125" style="38" customWidth="1"/>
    <col min="5383" max="5383" width="13.625" style="38" customWidth="1"/>
    <col min="5384" max="5384" width="7.125" style="38" customWidth="1"/>
    <col min="5385" max="5385" width="4.375" style="38" customWidth="1"/>
    <col min="5386" max="5388" width="9.375" style="38" customWidth="1"/>
    <col min="5389" max="5631" width="8" style="38"/>
    <col min="5632" max="5632" width="1" style="38" customWidth="1"/>
    <col min="5633" max="5633" width="16.25" style="38" customWidth="1"/>
    <col min="5634" max="5634" width="18.625" style="38" customWidth="1"/>
    <col min="5635" max="5635" width="6" style="38" customWidth="1"/>
    <col min="5636" max="5636" width="15.875" style="38" customWidth="1"/>
    <col min="5637" max="5637" width="10.375" style="38" customWidth="1"/>
    <col min="5638" max="5638" width="32.125" style="38" customWidth="1"/>
    <col min="5639" max="5639" width="13.625" style="38" customWidth="1"/>
    <col min="5640" max="5640" width="7.125" style="38" customWidth="1"/>
    <col min="5641" max="5641" width="4.375" style="38" customWidth="1"/>
    <col min="5642" max="5644" width="9.375" style="38" customWidth="1"/>
    <col min="5645" max="5887" width="8" style="38"/>
    <col min="5888" max="5888" width="1" style="38" customWidth="1"/>
    <col min="5889" max="5889" width="16.25" style="38" customWidth="1"/>
    <col min="5890" max="5890" width="18.625" style="38" customWidth="1"/>
    <col min="5891" max="5891" width="6" style="38" customWidth="1"/>
    <col min="5892" max="5892" width="15.875" style="38" customWidth="1"/>
    <col min="5893" max="5893" width="10.375" style="38" customWidth="1"/>
    <col min="5894" max="5894" width="32.125" style="38" customWidth="1"/>
    <col min="5895" max="5895" width="13.625" style="38" customWidth="1"/>
    <col min="5896" max="5896" width="7.125" style="38" customWidth="1"/>
    <col min="5897" max="5897" width="4.375" style="38" customWidth="1"/>
    <col min="5898" max="5900" width="9.375" style="38" customWidth="1"/>
    <col min="5901" max="6143" width="9" style="38"/>
    <col min="6144" max="6144" width="1" style="38" customWidth="1"/>
    <col min="6145" max="6145" width="16.25" style="38" customWidth="1"/>
    <col min="6146" max="6146" width="18.625" style="38" customWidth="1"/>
    <col min="6147" max="6147" width="6" style="38" customWidth="1"/>
    <col min="6148" max="6148" width="15.875" style="38" customWidth="1"/>
    <col min="6149" max="6149" width="10.375" style="38" customWidth="1"/>
    <col min="6150" max="6150" width="32.125" style="38" customWidth="1"/>
    <col min="6151" max="6151" width="13.625" style="38" customWidth="1"/>
    <col min="6152" max="6152" width="7.125" style="38" customWidth="1"/>
    <col min="6153" max="6153" width="4.375" style="38" customWidth="1"/>
    <col min="6154" max="6156" width="9.375" style="38" customWidth="1"/>
    <col min="6157" max="6399" width="8" style="38"/>
    <col min="6400" max="6400" width="1" style="38" customWidth="1"/>
    <col min="6401" max="6401" width="16.25" style="38" customWidth="1"/>
    <col min="6402" max="6402" width="18.625" style="38" customWidth="1"/>
    <col min="6403" max="6403" width="6" style="38" customWidth="1"/>
    <col min="6404" max="6404" width="15.875" style="38" customWidth="1"/>
    <col min="6405" max="6405" width="10.375" style="38" customWidth="1"/>
    <col min="6406" max="6406" width="32.125" style="38" customWidth="1"/>
    <col min="6407" max="6407" width="13.625" style="38" customWidth="1"/>
    <col min="6408" max="6408" width="7.125" style="38" customWidth="1"/>
    <col min="6409" max="6409" width="4.375" style="38" customWidth="1"/>
    <col min="6410" max="6412" width="9.375" style="38" customWidth="1"/>
    <col min="6413" max="6655" width="8" style="38"/>
    <col min="6656" max="6656" width="1" style="38" customWidth="1"/>
    <col min="6657" max="6657" width="16.25" style="38" customWidth="1"/>
    <col min="6658" max="6658" width="18.625" style="38" customWidth="1"/>
    <col min="6659" max="6659" width="6" style="38" customWidth="1"/>
    <col min="6660" max="6660" width="15.875" style="38" customWidth="1"/>
    <col min="6661" max="6661" width="10.375" style="38" customWidth="1"/>
    <col min="6662" max="6662" width="32.125" style="38" customWidth="1"/>
    <col min="6663" max="6663" width="13.625" style="38" customWidth="1"/>
    <col min="6664" max="6664" width="7.125" style="38" customWidth="1"/>
    <col min="6665" max="6665" width="4.375" style="38" customWidth="1"/>
    <col min="6666" max="6668" width="9.375" style="38" customWidth="1"/>
    <col min="6669" max="6911" width="8" style="38"/>
    <col min="6912" max="6912" width="1" style="38" customWidth="1"/>
    <col min="6913" max="6913" width="16.25" style="38" customWidth="1"/>
    <col min="6914" max="6914" width="18.625" style="38" customWidth="1"/>
    <col min="6915" max="6915" width="6" style="38" customWidth="1"/>
    <col min="6916" max="6916" width="15.875" style="38" customWidth="1"/>
    <col min="6917" max="6917" width="10.375" style="38" customWidth="1"/>
    <col min="6918" max="6918" width="32.125" style="38" customWidth="1"/>
    <col min="6919" max="6919" width="13.625" style="38" customWidth="1"/>
    <col min="6920" max="6920" width="7.125" style="38" customWidth="1"/>
    <col min="6921" max="6921" width="4.375" style="38" customWidth="1"/>
    <col min="6922" max="6924" width="9.375" style="38" customWidth="1"/>
    <col min="6925" max="7167" width="9" style="38"/>
    <col min="7168" max="7168" width="1" style="38" customWidth="1"/>
    <col min="7169" max="7169" width="16.25" style="38" customWidth="1"/>
    <col min="7170" max="7170" width="18.625" style="38" customWidth="1"/>
    <col min="7171" max="7171" width="6" style="38" customWidth="1"/>
    <col min="7172" max="7172" width="15.875" style="38" customWidth="1"/>
    <col min="7173" max="7173" width="10.375" style="38" customWidth="1"/>
    <col min="7174" max="7174" width="32.125" style="38" customWidth="1"/>
    <col min="7175" max="7175" width="13.625" style="38" customWidth="1"/>
    <col min="7176" max="7176" width="7.125" style="38" customWidth="1"/>
    <col min="7177" max="7177" width="4.375" style="38" customWidth="1"/>
    <col min="7178" max="7180" width="9.375" style="38" customWidth="1"/>
    <col min="7181" max="7423" width="8" style="38"/>
    <col min="7424" max="7424" width="1" style="38" customWidth="1"/>
    <col min="7425" max="7425" width="16.25" style="38" customWidth="1"/>
    <col min="7426" max="7426" width="18.625" style="38" customWidth="1"/>
    <col min="7427" max="7427" width="6" style="38" customWidth="1"/>
    <col min="7428" max="7428" width="15.875" style="38" customWidth="1"/>
    <col min="7429" max="7429" width="10.375" style="38" customWidth="1"/>
    <col min="7430" max="7430" width="32.125" style="38" customWidth="1"/>
    <col min="7431" max="7431" width="13.625" style="38" customWidth="1"/>
    <col min="7432" max="7432" width="7.125" style="38" customWidth="1"/>
    <col min="7433" max="7433" width="4.375" style="38" customWidth="1"/>
    <col min="7434" max="7436" width="9.375" style="38" customWidth="1"/>
    <col min="7437" max="7679" width="8" style="38"/>
    <col min="7680" max="7680" width="1" style="38" customWidth="1"/>
    <col min="7681" max="7681" width="16.25" style="38" customWidth="1"/>
    <col min="7682" max="7682" width="18.625" style="38" customWidth="1"/>
    <col min="7683" max="7683" width="6" style="38" customWidth="1"/>
    <col min="7684" max="7684" width="15.875" style="38" customWidth="1"/>
    <col min="7685" max="7685" width="10.375" style="38" customWidth="1"/>
    <col min="7686" max="7686" width="32.125" style="38" customWidth="1"/>
    <col min="7687" max="7687" width="13.625" style="38" customWidth="1"/>
    <col min="7688" max="7688" width="7.125" style="38" customWidth="1"/>
    <col min="7689" max="7689" width="4.375" style="38" customWidth="1"/>
    <col min="7690" max="7692" width="9.375" style="38" customWidth="1"/>
    <col min="7693" max="7935" width="8" style="38"/>
    <col min="7936" max="7936" width="1" style="38" customWidth="1"/>
    <col min="7937" max="7937" width="16.25" style="38" customWidth="1"/>
    <col min="7938" max="7938" width="18.625" style="38" customWidth="1"/>
    <col min="7939" max="7939" width="6" style="38" customWidth="1"/>
    <col min="7940" max="7940" width="15.875" style="38" customWidth="1"/>
    <col min="7941" max="7941" width="10.375" style="38" customWidth="1"/>
    <col min="7942" max="7942" width="32.125" style="38" customWidth="1"/>
    <col min="7943" max="7943" width="13.625" style="38" customWidth="1"/>
    <col min="7944" max="7944" width="7.125" style="38" customWidth="1"/>
    <col min="7945" max="7945" width="4.375" style="38" customWidth="1"/>
    <col min="7946" max="7948" width="9.375" style="38" customWidth="1"/>
    <col min="7949" max="8191" width="9" style="38"/>
    <col min="8192" max="8192" width="1" style="38" customWidth="1"/>
    <col min="8193" max="8193" width="16.25" style="38" customWidth="1"/>
    <col min="8194" max="8194" width="18.625" style="38" customWidth="1"/>
    <col min="8195" max="8195" width="6" style="38" customWidth="1"/>
    <col min="8196" max="8196" width="15.875" style="38" customWidth="1"/>
    <col min="8197" max="8197" width="10.375" style="38" customWidth="1"/>
    <col min="8198" max="8198" width="32.125" style="38" customWidth="1"/>
    <col min="8199" max="8199" width="13.625" style="38" customWidth="1"/>
    <col min="8200" max="8200" width="7.125" style="38" customWidth="1"/>
    <col min="8201" max="8201" width="4.375" style="38" customWidth="1"/>
    <col min="8202" max="8204" width="9.375" style="38" customWidth="1"/>
    <col min="8205" max="8447" width="8" style="38"/>
    <col min="8448" max="8448" width="1" style="38" customWidth="1"/>
    <col min="8449" max="8449" width="16.25" style="38" customWidth="1"/>
    <col min="8450" max="8450" width="18.625" style="38" customWidth="1"/>
    <col min="8451" max="8451" width="6" style="38" customWidth="1"/>
    <col min="8452" max="8452" width="15.875" style="38" customWidth="1"/>
    <col min="8453" max="8453" width="10.375" style="38" customWidth="1"/>
    <col min="8454" max="8454" width="32.125" style="38" customWidth="1"/>
    <col min="8455" max="8455" width="13.625" style="38" customWidth="1"/>
    <col min="8456" max="8456" width="7.125" style="38" customWidth="1"/>
    <col min="8457" max="8457" width="4.375" style="38" customWidth="1"/>
    <col min="8458" max="8460" width="9.375" style="38" customWidth="1"/>
    <col min="8461" max="8703" width="8" style="38"/>
    <col min="8704" max="8704" width="1" style="38" customWidth="1"/>
    <col min="8705" max="8705" width="16.25" style="38" customWidth="1"/>
    <col min="8706" max="8706" width="18.625" style="38" customWidth="1"/>
    <col min="8707" max="8707" width="6" style="38" customWidth="1"/>
    <col min="8708" max="8708" width="15.875" style="38" customWidth="1"/>
    <col min="8709" max="8709" width="10.375" style="38" customWidth="1"/>
    <col min="8710" max="8710" width="32.125" style="38" customWidth="1"/>
    <col min="8711" max="8711" width="13.625" style="38" customWidth="1"/>
    <col min="8712" max="8712" width="7.125" style="38" customWidth="1"/>
    <col min="8713" max="8713" width="4.375" style="38" customWidth="1"/>
    <col min="8714" max="8716" width="9.375" style="38" customWidth="1"/>
    <col min="8717" max="8959" width="8" style="38"/>
    <col min="8960" max="8960" width="1" style="38" customWidth="1"/>
    <col min="8961" max="8961" width="16.25" style="38" customWidth="1"/>
    <col min="8962" max="8962" width="18.625" style="38" customWidth="1"/>
    <col min="8963" max="8963" width="6" style="38" customWidth="1"/>
    <col min="8964" max="8964" width="15.875" style="38" customWidth="1"/>
    <col min="8965" max="8965" width="10.375" style="38" customWidth="1"/>
    <col min="8966" max="8966" width="32.125" style="38" customWidth="1"/>
    <col min="8967" max="8967" width="13.625" style="38" customWidth="1"/>
    <col min="8968" max="8968" width="7.125" style="38" customWidth="1"/>
    <col min="8969" max="8969" width="4.375" style="38" customWidth="1"/>
    <col min="8970" max="8972" width="9.375" style="38" customWidth="1"/>
    <col min="8973" max="9215" width="9" style="38"/>
    <col min="9216" max="9216" width="1" style="38" customWidth="1"/>
    <col min="9217" max="9217" width="16.25" style="38" customWidth="1"/>
    <col min="9218" max="9218" width="18.625" style="38" customWidth="1"/>
    <col min="9219" max="9219" width="6" style="38" customWidth="1"/>
    <col min="9220" max="9220" width="15.875" style="38" customWidth="1"/>
    <col min="9221" max="9221" width="10.375" style="38" customWidth="1"/>
    <col min="9222" max="9222" width="32.125" style="38" customWidth="1"/>
    <col min="9223" max="9223" width="13.625" style="38" customWidth="1"/>
    <col min="9224" max="9224" width="7.125" style="38" customWidth="1"/>
    <col min="9225" max="9225" width="4.375" style="38" customWidth="1"/>
    <col min="9226" max="9228" width="9.375" style="38" customWidth="1"/>
    <col min="9229" max="9471" width="8" style="38"/>
    <col min="9472" max="9472" width="1" style="38" customWidth="1"/>
    <col min="9473" max="9473" width="16.25" style="38" customWidth="1"/>
    <col min="9474" max="9474" width="18.625" style="38" customWidth="1"/>
    <col min="9475" max="9475" width="6" style="38" customWidth="1"/>
    <col min="9476" max="9476" width="15.875" style="38" customWidth="1"/>
    <col min="9477" max="9477" width="10.375" style="38" customWidth="1"/>
    <col min="9478" max="9478" width="32.125" style="38" customWidth="1"/>
    <col min="9479" max="9479" width="13.625" style="38" customWidth="1"/>
    <col min="9480" max="9480" width="7.125" style="38" customWidth="1"/>
    <col min="9481" max="9481" width="4.375" style="38" customWidth="1"/>
    <col min="9482" max="9484" width="9.375" style="38" customWidth="1"/>
    <col min="9485" max="9727" width="8" style="38"/>
    <col min="9728" max="9728" width="1" style="38" customWidth="1"/>
    <col min="9729" max="9729" width="16.25" style="38" customWidth="1"/>
    <col min="9730" max="9730" width="18.625" style="38" customWidth="1"/>
    <col min="9731" max="9731" width="6" style="38" customWidth="1"/>
    <col min="9732" max="9732" width="15.875" style="38" customWidth="1"/>
    <col min="9733" max="9733" width="10.375" style="38" customWidth="1"/>
    <col min="9734" max="9734" width="32.125" style="38" customWidth="1"/>
    <col min="9735" max="9735" width="13.625" style="38" customWidth="1"/>
    <col min="9736" max="9736" width="7.125" style="38" customWidth="1"/>
    <col min="9737" max="9737" width="4.375" style="38" customWidth="1"/>
    <col min="9738" max="9740" width="9.375" style="38" customWidth="1"/>
    <col min="9741" max="9983" width="8" style="38"/>
    <col min="9984" max="9984" width="1" style="38" customWidth="1"/>
    <col min="9985" max="9985" width="16.25" style="38" customWidth="1"/>
    <col min="9986" max="9986" width="18.625" style="38" customWidth="1"/>
    <col min="9987" max="9987" width="6" style="38" customWidth="1"/>
    <col min="9988" max="9988" width="15.875" style="38" customWidth="1"/>
    <col min="9989" max="9989" width="10.375" style="38" customWidth="1"/>
    <col min="9990" max="9990" width="32.125" style="38" customWidth="1"/>
    <col min="9991" max="9991" width="13.625" style="38" customWidth="1"/>
    <col min="9992" max="9992" width="7.125" style="38" customWidth="1"/>
    <col min="9993" max="9993" width="4.375" style="38" customWidth="1"/>
    <col min="9994" max="9996" width="9.375" style="38" customWidth="1"/>
    <col min="9997" max="10239" width="9" style="38"/>
    <col min="10240" max="10240" width="1" style="38" customWidth="1"/>
    <col min="10241" max="10241" width="16.25" style="38" customWidth="1"/>
    <col min="10242" max="10242" width="18.625" style="38" customWidth="1"/>
    <col min="10243" max="10243" width="6" style="38" customWidth="1"/>
    <col min="10244" max="10244" width="15.875" style="38" customWidth="1"/>
    <col min="10245" max="10245" width="10.375" style="38" customWidth="1"/>
    <col min="10246" max="10246" width="32.125" style="38" customWidth="1"/>
    <col min="10247" max="10247" width="13.625" style="38" customWidth="1"/>
    <col min="10248" max="10248" width="7.125" style="38" customWidth="1"/>
    <col min="10249" max="10249" width="4.375" style="38" customWidth="1"/>
    <col min="10250" max="10252" width="9.375" style="38" customWidth="1"/>
    <col min="10253" max="10495" width="8" style="38"/>
    <col min="10496" max="10496" width="1" style="38" customWidth="1"/>
    <col min="10497" max="10497" width="16.25" style="38" customWidth="1"/>
    <col min="10498" max="10498" width="18.625" style="38" customWidth="1"/>
    <col min="10499" max="10499" width="6" style="38" customWidth="1"/>
    <col min="10500" max="10500" width="15.875" style="38" customWidth="1"/>
    <col min="10501" max="10501" width="10.375" style="38" customWidth="1"/>
    <col min="10502" max="10502" width="32.125" style="38" customWidth="1"/>
    <col min="10503" max="10503" width="13.625" style="38" customWidth="1"/>
    <col min="10504" max="10504" width="7.125" style="38" customWidth="1"/>
    <col min="10505" max="10505" width="4.375" style="38" customWidth="1"/>
    <col min="10506" max="10508" width="9.375" style="38" customWidth="1"/>
    <col min="10509" max="10751" width="8" style="38"/>
    <col min="10752" max="10752" width="1" style="38" customWidth="1"/>
    <col min="10753" max="10753" width="16.25" style="38" customWidth="1"/>
    <col min="10754" max="10754" width="18.625" style="38" customWidth="1"/>
    <col min="10755" max="10755" width="6" style="38" customWidth="1"/>
    <col min="10756" max="10756" width="15.875" style="38" customWidth="1"/>
    <col min="10757" max="10757" width="10.375" style="38" customWidth="1"/>
    <col min="10758" max="10758" width="32.125" style="38" customWidth="1"/>
    <col min="10759" max="10759" width="13.625" style="38" customWidth="1"/>
    <col min="10760" max="10760" width="7.125" style="38" customWidth="1"/>
    <col min="10761" max="10761" width="4.375" style="38" customWidth="1"/>
    <col min="10762" max="10764" width="9.375" style="38" customWidth="1"/>
    <col min="10765" max="11007" width="8" style="38"/>
    <col min="11008" max="11008" width="1" style="38" customWidth="1"/>
    <col min="11009" max="11009" width="16.25" style="38" customWidth="1"/>
    <col min="11010" max="11010" width="18.625" style="38" customWidth="1"/>
    <col min="11011" max="11011" width="6" style="38" customWidth="1"/>
    <col min="11012" max="11012" width="15.875" style="38" customWidth="1"/>
    <col min="11013" max="11013" width="10.375" style="38" customWidth="1"/>
    <col min="11014" max="11014" width="32.125" style="38" customWidth="1"/>
    <col min="11015" max="11015" width="13.625" style="38" customWidth="1"/>
    <col min="11016" max="11016" width="7.125" style="38" customWidth="1"/>
    <col min="11017" max="11017" width="4.375" style="38" customWidth="1"/>
    <col min="11018" max="11020" width="9.375" style="38" customWidth="1"/>
    <col min="11021" max="11263" width="9" style="38"/>
    <col min="11264" max="11264" width="1" style="38" customWidth="1"/>
    <col min="11265" max="11265" width="16.25" style="38" customWidth="1"/>
    <col min="11266" max="11266" width="18.625" style="38" customWidth="1"/>
    <col min="11267" max="11267" width="6" style="38" customWidth="1"/>
    <col min="11268" max="11268" width="15.875" style="38" customWidth="1"/>
    <col min="11269" max="11269" width="10.375" style="38" customWidth="1"/>
    <col min="11270" max="11270" width="32.125" style="38" customWidth="1"/>
    <col min="11271" max="11271" width="13.625" style="38" customWidth="1"/>
    <col min="11272" max="11272" width="7.125" style="38" customWidth="1"/>
    <col min="11273" max="11273" width="4.375" style="38" customWidth="1"/>
    <col min="11274" max="11276" width="9.375" style="38" customWidth="1"/>
    <col min="11277" max="11519" width="8" style="38"/>
    <col min="11520" max="11520" width="1" style="38" customWidth="1"/>
    <col min="11521" max="11521" width="16.25" style="38" customWidth="1"/>
    <col min="11522" max="11522" width="18.625" style="38" customWidth="1"/>
    <col min="11523" max="11523" width="6" style="38" customWidth="1"/>
    <col min="11524" max="11524" width="15.875" style="38" customWidth="1"/>
    <col min="11525" max="11525" width="10.375" style="38" customWidth="1"/>
    <col min="11526" max="11526" width="32.125" style="38" customWidth="1"/>
    <col min="11527" max="11527" width="13.625" style="38" customWidth="1"/>
    <col min="11528" max="11528" width="7.125" style="38" customWidth="1"/>
    <col min="11529" max="11529" width="4.375" style="38" customWidth="1"/>
    <col min="11530" max="11532" width="9.375" style="38" customWidth="1"/>
    <col min="11533" max="11775" width="8" style="38"/>
    <col min="11776" max="11776" width="1" style="38" customWidth="1"/>
    <col min="11777" max="11777" width="16.25" style="38" customWidth="1"/>
    <col min="11778" max="11778" width="18.625" style="38" customWidth="1"/>
    <col min="11779" max="11779" width="6" style="38" customWidth="1"/>
    <col min="11780" max="11780" width="15.875" style="38" customWidth="1"/>
    <col min="11781" max="11781" width="10.375" style="38" customWidth="1"/>
    <col min="11782" max="11782" width="32.125" style="38" customWidth="1"/>
    <col min="11783" max="11783" width="13.625" style="38" customWidth="1"/>
    <col min="11784" max="11784" width="7.125" style="38" customWidth="1"/>
    <col min="11785" max="11785" width="4.375" style="38" customWidth="1"/>
    <col min="11786" max="11788" width="9.375" style="38" customWidth="1"/>
    <col min="11789" max="12031" width="8" style="38"/>
    <col min="12032" max="12032" width="1" style="38" customWidth="1"/>
    <col min="12033" max="12033" width="16.25" style="38" customWidth="1"/>
    <col min="12034" max="12034" width="18.625" style="38" customWidth="1"/>
    <col min="12035" max="12035" width="6" style="38" customWidth="1"/>
    <col min="12036" max="12036" width="15.875" style="38" customWidth="1"/>
    <col min="12037" max="12037" width="10.375" style="38" customWidth="1"/>
    <col min="12038" max="12038" width="32.125" style="38" customWidth="1"/>
    <col min="12039" max="12039" width="13.625" style="38" customWidth="1"/>
    <col min="12040" max="12040" width="7.125" style="38" customWidth="1"/>
    <col min="12041" max="12041" width="4.375" style="38" customWidth="1"/>
    <col min="12042" max="12044" width="9.375" style="38" customWidth="1"/>
    <col min="12045" max="12287" width="9" style="38"/>
    <col min="12288" max="12288" width="1" style="38" customWidth="1"/>
    <col min="12289" max="12289" width="16.25" style="38" customWidth="1"/>
    <col min="12290" max="12290" width="18.625" style="38" customWidth="1"/>
    <col min="12291" max="12291" width="6" style="38" customWidth="1"/>
    <col min="12292" max="12292" width="15.875" style="38" customWidth="1"/>
    <col min="12293" max="12293" width="10.375" style="38" customWidth="1"/>
    <col min="12294" max="12294" width="32.125" style="38" customWidth="1"/>
    <col min="12295" max="12295" width="13.625" style="38" customWidth="1"/>
    <col min="12296" max="12296" width="7.125" style="38" customWidth="1"/>
    <col min="12297" max="12297" width="4.375" style="38" customWidth="1"/>
    <col min="12298" max="12300" width="9.375" style="38" customWidth="1"/>
    <col min="12301" max="12543" width="8" style="38"/>
    <col min="12544" max="12544" width="1" style="38" customWidth="1"/>
    <col min="12545" max="12545" width="16.25" style="38" customWidth="1"/>
    <col min="12546" max="12546" width="18.625" style="38" customWidth="1"/>
    <col min="12547" max="12547" width="6" style="38" customWidth="1"/>
    <col min="12548" max="12548" width="15.875" style="38" customWidth="1"/>
    <col min="12549" max="12549" width="10.375" style="38" customWidth="1"/>
    <col min="12550" max="12550" width="32.125" style="38" customWidth="1"/>
    <col min="12551" max="12551" width="13.625" style="38" customWidth="1"/>
    <col min="12552" max="12552" width="7.125" style="38" customWidth="1"/>
    <col min="12553" max="12553" width="4.375" style="38" customWidth="1"/>
    <col min="12554" max="12556" width="9.375" style="38" customWidth="1"/>
    <col min="12557" max="12799" width="8" style="38"/>
    <col min="12800" max="12800" width="1" style="38" customWidth="1"/>
    <col min="12801" max="12801" width="16.25" style="38" customWidth="1"/>
    <col min="12802" max="12802" width="18.625" style="38" customWidth="1"/>
    <col min="12803" max="12803" width="6" style="38" customWidth="1"/>
    <col min="12804" max="12804" width="15.875" style="38" customWidth="1"/>
    <col min="12805" max="12805" width="10.375" style="38" customWidth="1"/>
    <col min="12806" max="12806" width="32.125" style="38" customWidth="1"/>
    <col min="12807" max="12807" width="13.625" style="38" customWidth="1"/>
    <col min="12808" max="12808" width="7.125" style="38" customWidth="1"/>
    <col min="12809" max="12809" width="4.375" style="38" customWidth="1"/>
    <col min="12810" max="12812" width="9.375" style="38" customWidth="1"/>
    <col min="12813" max="13055" width="8" style="38"/>
    <col min="13056" max="13056" width="1" style="38" customWidth="1"/>
    <col min="13057" max="13057" width="16.25" style="38" customWidth="1"/>
    <col min="13058" max="13058" width="18.625" style="38" customWidth="1"/>
    <col min="13059" max="13059" width="6" style="38" customWidth="1"/>
    <col min="13060" max="13060" width="15.875" style="38" customWidth="1"/>
    <col min="13061" max="13061" width="10.375" style="38" customWidth="1"/>
    <col min="13062" max="13062" width="32.125" style="38" customWidth="1"/>
    <col min="13063" max="13063" width="13.625" style="38" customWidth="1"/>
    <col min="13064" max="13064" width="7.125" style="38" customWidth="1"/>
    <col min="13065" max="13065" width="4.375" style="38" customWidth="1"/>
    <col min="13066" max="13068" width="9.375" style="38" customWidth="1"/>
    <col min="13069" max="13311" width="9" style="38"/>
    <col min="13312" max="13312" width="1" style="38" customWidth="1"/>
    <col min="13313" max="13313" width="16.25" style="38" customWidth="1"/>
    <col min="13314" max="13314" width="18.625" style="38" customWidth="1"/>
    <col min="13315" max="13315" width="6" style="38" customWidth="1"/>
    <col min="13316" max="13316" width="15.875" style="38" customWidth="1"/>
    <col min="13317" max="13317" width="10.375" style="38" customWidth="1"/>
    <col min="13318" max="13318" width="32.125" style="38" customWidth="1"/>
    <col min="13319" max="13319" width="13.625" style="38" customWidth="1"/>
    <col min="13320" max="13320" width="7.125" style="38" customWidth="1"/>
    <col min="13321" max="13321" width="4.375" style="38" customWidth="1"/>
    <col min="13322" max="13324" width="9.375" style="38" customWidth="1"/>
    <col min="13325" max="13567" width="8" style="38"/>
    <col min="13568" max="13568" width="1" style="38" customWidth="1"/>
    <col min="13569" max="13569" width="16.25" style="38" customWidth="1"/>
    <col min="13570" max="13570" width="18.625" style="38" customWidth="1"/>
    <col min="13571" max="13571" width="6" style="38" customWidth="1"/>
    <col min="13572" max="13572" width="15.875" style="38" customWidth="1"/>
    <col min="13573" max="13573" width="10.375" style="38" customWidth="1"/>
    <col min="13574" max="13574" width="32.125" style="38" customWidth="1"/>
    <col min="13575" max="13575" width="13.625" style="38" customWidth="1"/>
    <col min="13576" max="13576" width="7.125" style="38" customWidth="1"/>
    <col min="13577" max="13577" width="4.375" style="38" customWidth="1"/>
    <col min="13578" max="13580" width="9.375" style="38" customWidth="1"/>
    <col min="13581" max="13823" width="8" style="38"/>
    <col min="13824" max="13824" width="1" style="38" customWidth="1"/>
    <col min="13825" max="13825" width="16.25" style="38" customWidth="1"/>
    <col min="13826" max="13826" width="18.625" style="38" customWidth="1"/>
    <col min="13827" max="13827" width="6" style="38" customWidth="1"/>
    <col min="13828" max="13828" width="15.875" style="38" customWidth="1"/>
    <col min="13829" max="13829" width="10.375" style="38" customWidth="1"/>
    <col min="13830" max="13830" width="32.125" style="38" customWidth="1"/>
    <col min="13831" max="13831" width="13.625" style="38" customWidth="1"/>
    <col min="13832" max="13832" width="7.125" style="38" customWidth="1"/>
    <col min="13833" max="13833" width="4.375" style="38" customWidth="1"/>
    <col min="13834" max="13836" width="9.375" style="38" customWidth="1"/>
    <col min="13837" max="14079" width="8" style="38"/>
    <col min="14080" max="14080" width="1" style="38" customWidth="1"/>
    <col min="14081" max="14081" width="16.25" style="38" customWidth="1"/>
    <col min="14082" max="14082" width="18.625" style="38" customWidth="1"/>
    <col min="14083" max="14083" width="6" style="38" customWidth="1"/>
    <col min="14084" max="14084" width="15.875" style="38" customWidth="1"/>
    <col min="14085" max="14085" width="10.375" style="38" customWidth="1"/>
    <col min="14086" max="14086" width="32.125" style="38" customWidth="1"/>
    <col min="14087" max="14087" width="13.625" style="38" customWidth="1"/>
    <col min="14088" max="14088" width="7.125" style="38" customWidth="1"/>
    <col min="14089" max="14089" width="4.375" style="38" customWidth="1"/>
    <col min="14090" max="14092" width="9.375" style="38" customWidth="1"/>
    <col min="14093" max="14335" width="9" style="38"/>
    <col min="14336" max="14336" width="1" style="38" customWidth="1"/>
    <col min="14337" max="14337" width="16.25" style="38" customWidth="1"/>
    <col min="14338" max="14338" width="18.625" style="38" customWidth="1"/>
    <col min="14339" max="14339" width="6" style="38" customWidth="1"/>
    <col min="14340" max="14340" width="15.875" style="38" customWidth="1"/>
    <col min="14341" max="14341" width="10.375" style="38" customWidth="1"/>
    <col min="14342" max="14342" width="32.125" style="38" customWidth="1"/>
    <col min="14343" max="14343" width="13.625" style="38" customWidth="1"/>
    <col min="14344" max="14344" width="7.125" style="38" customWidth="1"/>
    <col min="14345" max="14345" width="4.375" style="38" customWidth="1"/>
    <col min="14346" max="14348" width="9.375" style="38" customWidth="1"/>
    <col min="14349" max="14591" width="8" style="38"/>
    <col min="14592" max="14592" width="1" style="38" customWidth="1"/>
    <col min="14593" max="14593" width="16.25" style="38" customWidth="1"/>
    <col min="14594" max="14594" width="18.625" style="38" customWidth="1"/>
    <col min="14595" max="14595" width="6" style="38" customWidth="1"/>
    <col min="14596" max="14596" width="15.875" style="38" customWidth="1"/>
    <col min="14597" max="14597" width="10.375" style="38" customWidth="1"/>
    <col min="14598" max="14598" width="32.125" style="38" customWidth="1"/>
    <col min="14599" max="14599" width="13.625" style="38" customWidth="1"/>
    <col min="14600" max="14600" width="7.125" style="38" customWidth="1"/>
    <col min="14601" max="14601" width="4.375" style="38" customWidth="1"/>
    <col min="14602" max="14604" width="9.375" style="38" customWidth="1"/>
    <col min="14605" max="14847" width="8" style="38"/>
    <col min="14848" max="14848" width="1" style="38" customWidth="1"/>
    <col min="14849" max="14849" width="16.25" style="38" customWidth="1"/>
    <col min="14850" max="14850" width="18.625" style="38" customWidth="1"/>
    <col min="14851" max="14851" width="6" style="38" customWidth="1"/>
    <col min="14852" max="14852" width="15.875" style="38" customWidth="1"/>
    <col min="14853" max="14853" width="10.375" style="38" customWidth="1"/>
    <col min="14854" max="14854" width="32.125" style="38" customWidth="1"/>
    <col min="14855" max="14855" width="13.625" style="38" customWidth="1"/>
    <col min="14856" max="14856" width="7.125" style="38" customWidth="1"/>
    <col min="14857" max="14857" width="4.375" style="38" customWidth="1"/>
    <col min="14858" max="14860" width="9.375" style="38" customWidth="1"/>
    <col min="14861" max="15103" width="8" style="38"/>
    <col min="15104" max="15104" width="1" style="38" customWidth="1"/>
    <col min="15105" max="15105" width="16.25" style="38" customWidth="1"/>
    <col min="15106" max="15106" width="18.625" style="38" customWidth="1"/>
    <col min="15107" max="15107" width="6" style="38" customWidth="1"/>
    <col min="15108" max="15108" width="15.875" style="38" customWidth="1"/>
    <col min="15109" max="15109" width="10.375" style="38" customWidth="1"/>
    <col min="15110" max="15110" width="32.125" style="38" customWidth="1"/>
    <col min="15111" max="15111" width="13.625" style="38" customWidth="1"/>
    <col min="15112" max="15112" width="7.125" style="38" customWidth="1"/>
    <col min="15113" max="15113" width="4.375" style="38" customWidth="1"/>
    <col min="15114" max="15116" width="9.375" style="38" customWidth="1"/>
    <col min="15117" max="15359" width="9" style="38"/>
    <col min="15360" max="15360" width="1" style="38" customWidth="1"/>
    <col min="15361" max="15361" width="16.25" style="38" customWidth="1"/>
    <col min="15362" max="15362" width="18.625" style="38" customWidth="1"/>
    <col min="15363" max="15363" width="6" style="38" customWidth="1"/>
    <col min="15364" max="15364" width="15.875" style="38" customWidth="1"/>
    <col min="15365" max="15365" width="10.375" style="38" customWidth="1"/>
    <col min="15366" max="15366" width="32.125" style="38" customWidth="1"/>
    <col min="15367" max="15367" width="13.625" style="38" customWidth="1"/>
    <col min="15368" max="15368" width="7.125" style="38" customWidth="1"/>
    <col min="15369" max="15369" width="4.375" style="38" customWidth="1"/>
    <col min="15370" max="15372" width="9.375" style="38" customWidth="1"/>
    <col min="15373" max="15615" width="8" style="38"/>
    <col min="15616" max="15616" width="1" style="38" customWidth="1"/>
    <col min="15617" max="15617" width="16.25" style="38" customWidth="1"/>
    <col min="15618" max="15618" width="18.625" style="38" customWidth="1"/>
    <col min="15619" max="15619" width="6" style="38" customWidth="1"/>
    <col min="15620" max="15620" width="15.875" style="38" customWidth="1"/>
    <col min="15621" max="15621" width="10.375" style="38" customWidth="1"/>
    <col min="15622" max="15622" width="32.125" style="38" customWidth="1"/>
    <col min="15623" max="15623" width="13.625" style="38" customWidth="1"/>
    <col min="15624" max="15624" width="7.125" style="38" customWidth="1"/>
    <col min="15625" max="15625" width="4.375" style="38" customWidth="1"/>
    <col min="15626" max="15628" width="9.375" style="38" customWidth="1"/>
    <col min="15629" max="15871" width="8" style="38"/>
    <col min="15872" max="15872" width="1" style="38" customWidth="1"/>
    <col min="15873" max="15873" width="16.25" style="38" customWidth="1"/>
    <col min="15874" max="15874" width="18.625" style="38" customWidth="1"/>
    <col min="15875" max="15875" width="6" style="38" customWidth="1"/>
    <col min="15876" max="15876" width="15.875" style="38" customWidth="1"/>
    <col min="15877" max="15877" width="10.375" style="38" customWidth="1"/>
    <col min="15878" max="15878" width="32.125" style="38" customWidth="1"/>
    <col min="15879" max="15879" width="13.625" style="38" customWidth="1"/>
    <col min="15880" max="15880" width="7.125" style="38" customWidth="1"/>
    <col min="15881" max="15881" width="4.375" style="38" customWidth="1"/>
    <col min="15882" max="15884" width="9.375" style="38" customWidth="1"/>
    <col min="15885" max="16127" width="8" style="38"/>
    <col min="16128" max="16128" width="1" style="38" customWidth="1"/>
    <col min="16129" max="16129" width="16.25" style="38" customWidth="1"/>
    <col min="16130" max="16130" width="18.625" style="38" customWidth="1"/>
    <col min="16131" max="16131" width="6" style="38" customWidth="1"/>
    <col min="16132" max="16132" width="15.875" style="38" customWidth="1"/>
    <col min="16133" max="16133" width="10.375" style="38" customWidth="1"/>
    <col min="16134" max="16134" width="32.125" style="38" customWidth="1"/>
    <col min="16135" max="16135" width="13.625" style="38" customWidth="1"/>
    <col min="16136" max="16136" width="7.125" style="38" customWidth="1"/>
    <col min="16137" max="16137" width="4.375" style="38" customWidth="1"/>
    <col min="16138" max="16140" width="9.375" style="38" customWidth="1"/>
    <col min="16141" max="16384" width="9" style="38"/>
  </cols>
  <sheetData>
    <row r="1" spans="2:14" ht="63" customHeight="1" x14ac:dyDescent="0.25">
      <c r="H1" s="353" t="s">
        <v>198</v>
      </c>
      <c r="M1" s="354" t="s">
        <v>193</v>
      </c>
    </row>
    <row r="2" spans="2:14" ht="64.5" hidden="1" customHeight="1" x14ac:dyDescent="0.25"/>
    <row r="3" spans="2:14" ht="57.75" customHeight="1" x14ac:dyDescent="0.25">
      <c r="C3" s="25" t="s">
        <v>7</v>
      </c>
      <c r="D3" s="422" t="s">
        <v>80</v>
      </c>
      <c r="E3" s="422"/>
      <c r="F3" s="422"/>
      <c r="G3" s="78"/>
      <c r="H3" s="36"/>
      <c r="J3" s="37"/>
      <c r="K3" s="37"/>
      <c r="L3" s="44"/>
    </row>
    <row r="4" spans="2:14" ht="7.5" hidden="1" customHeight="1" x14ac:dyDescent="0.25">
      <c r="C4" s="25"/>
      <c r="D4" s="77"/>
      <c r="E4" s="77"/>
      <c r="F4" s="77"/>
      <c r="G4" s="78"/>
      <c r="H4" s="36"/>
      <c r="J4" s="37"/>
      <c r="K4" s="37"/>
      <c r="L4" s="44"/>
    </row>
    <row r="5" spans="2:14" ht="50.25" customHeight="1" x14ac:dyDescent="0.25">
      <c r="C5" s="24" t="s">
        <v>56</v>
      </c>
      <c r="D5" s="429" t="s">
        <v>186</v>
      </c>
      <c r="E5" s="429"/>
      <c r="F5" s="429"/>
      <c r="G5" s="429"/>
      <c r="H5" s="429"/>
      <c r="I5" s="429"/>
      <c r="J5" s="429"/>
      <c r="K5" s="429"/>
      <c r="L5" s="429"/>
      <c r="M5" s="429"/>
    </row>
    <row r="6" spans="2:14" ht="13.9" thickBot="1" x14ac:dyDescent="0.3">
      <c r="C6" s="423"/>
      <c r="D6" s="423"/>
      <c r="E6" s="423"/>
      <c r="F6" s="423"/>
      <c r="G6" s="423"/>
      <c r="H6" s="423"/>
      <c r="I6" s="423"/>
      <c r="J6" s="423"/>
      <c r="K6" s="62">
        <v>0.4</v>
      </c>
    </row>
    <row r="7" spans="2:14" ht="39.75" customHeight="1" x14ac:dyDescent="0.2">
      <c r="H7" s="424" t="s">
        <v>180</v>
      </c>
      <c r="I7" s="425"/>
      <c r="J7" s="426"/>
      <c r="K7" s="213"/>
      <c r="L7" s="213"/>
    </row>
    <row r="8" spans="2:14" ht="3" customHeight="1" x14ac:dyDescent="0.2">
      <c r="C8" s="64"/>
      <c r="D8" s="46"/>
      <c r="E8" s="46"/>
      <c r="F8" s="46"/>
      <c r="G8" s="46"/>
      <c r="H8" s="427"/>
      <c r="I8" s="428"/>
      <c r="J8" s="428"/>
      <c r="K8" s="215"/>
      <c r="L8" s="213"/>
    </row>
    <row r="9" spans="2:14" ht="46.5" customHeight="1" x14ac:dyDescent="0.2">
      <c r="B9" s="414" t="s">
        <v>20</v>
      </c>
      <c r="C9" s="242" t="s">
        <v>135</v>
      </c>
      <c r="D9" s="214" t="s">
        <v>136</v>
      </c>
      <c r="E9" s="84" t="s">
        <v>142</v>
      </c>
      <c r="F9" s="84" t="s">
        <v>44</v>
      </c>
      <c r="G9" s="87" t="s">
        <v>43</v>
      </c>
      <c r="H9" s="154" t="s">
        <v>12</v>
      </c>
      <c r="I9" s="84" t="s">
        <v>141</v>
      </c>
      <c r="J9" s="103" t="s">
        <v>89</v>
      </c>
      <c r="K9" s="104" t="s">
        <v>39</v>
      </c>
      <c r="L9" s="105" t="s">
        <v>28</v>
      </c>
      <c r="N9" s="38"/>
    </row>
    <row r="10" spans="2:14" ht="58.5" customHeight="1" x14ac:dyDescent="0.2">
      <c r="B10" s="414"/>
      <c r="C10" s="282">
        <v>42871</v>
      </c>
      <c r="D10" s="282">
        <v>42877</v>
      </c>
      <c r="E10" s="243" t="s">
        <v>157</v>
      </c>
      <c r="F10" s="244" t="s">
        <v>58</v>
      </c>
      <c r="G10" s="245" t="s">
        <v>154</v>
      </c>
      <c r="H10" s="246">
        <v>72</v>
      </c>
      <c r="I10" s="247">
        <v>93.4</v>
      </c>
      <c r="J10" s="159">
        <v>2689.92</v>
      </c>
      <c r="K10" s="248">
        <v>45</v>
      </c>
      <c r="L10" s="249">
        <v>2689.92</v>
      </c>
      <c r="N10" s="38"/>
    </row>
    <row r="11" spans="2:14" ht="54" customHeight="1" x14ac:dyDescent="0.2">
      <c r="B11" s="414"/>
      <c r="C11" s="282">
        <v>44792</v>
      </c>
      <c r="D11" s="282">
        <v>44805</v>
      </c>
      <c r="E11" s="250" t="s">
        <v>143</v>
      </c>
      <c r="F11" s="251" t="s">
        <v>119</v>
      </c>
      <c r="G11" s="252" t="s">
        <v>153</v>
      </c>
      <c r="H11" s="253">
        <v>12</v>
      </c>
      <c r="I11" s="254">
        <v>113.65</v>
      </c>
      <c r="J11" s="255">
        <v>545.52</v>
      </c>
      <c r="K11" s="256">
        <v>83</v>
      </c>
      <c r="L11" s="257">
        <v>545.52</v>
      </c>
      <c r="N11" s="38"/>
    </row>
    <row r="12" spans="2:14" ht="26.45" hidden="1" x14ac:dyDescent="0.25">
      <c r="C12" s="206" t="s">
        <v>19</v>
      </c>
      <c r="D12" s="207" t="s">
        <v>0</v>
      </c>
      <c r="E12" s="207" t="s">
        <v>62</v>
      </c>
      <c r="F12" s="175" t="s">
        <v>1</v>
      </c>
      <c r="G12" s="208" t="s">
        <v>2</v>
      </c>
      <c r="H12" s="155" t="s">
        <v>12</v>
      </c>
      <c r="I12" s="27" t="s">
        <v>13</v>
      </c>
      <c r="J12" s="153" t="s">
        <v>14</v>
      </c>
      <c r="K12" s="174" t="s">
        <v>18</v>
      </c>
      <c r="L12" s="209" t="s">
        <v>28</v>
      </c>
      <c r="N12" s="38"/>
    </row>
    <row r="13" spans="2:14" x14ac:dyDescent="0.2">
      <c r="C13" s="157">
        <v>43094</v>
      </c>
      <c r="D13" s="158">
        <v>43095</v>
      </c>
      <c r="E13" s="91" t="s">
        <v>203</v>
      </c>
      <c r="F13" s="212" t="s">
        <v>214</v>
      </c>
      <c r="G13" s="201" t="s">
        <v>215</v>
      </c>
      <c r="H13" s="216">
        <v>24</v>
      </c>
      <c r="I13" s="217">
        <v>100</v>
      </c>
      <c r="J13" s="218">
        <f>(EquipOC[[#This Row],[Hours Used]]*EquipOC[[#This Row],[Claimant''s Rate]])*0.4</f>
        <v>960</v>
      </c>
      <c r="K13" s="351" t="s">
        <v>216</v>
      </c>
      <c r="L13" s="179">
        <f>SUM(EquipOC[[#This Row],[Total (Option 1)]])</f>
        <v>960</v>
      </c>
      <c r="N13" s="38"/>
    </row>
    <row r="14" spans="2:14" ht="13.15" x14ac:dyDescent="0.25">
      <c r="C14" s="240"/>
      <c r="D14" s="240"/>
      <c r="E14" s="212"/>
      <c r="F14" s="212"/>
      <c r="G14" s="201"/>
      <c r="H14" s="216"/>
      <c r="I14" s="217"/>
      <c r="J14" s="218">
        <f>(EquipOC[[#This Row],[Hours Used]]*EquipOC[[#This Row],[Claimant''s Rate]])*0.4</f>
        <v>0</v>
      </c>
      <c r="K14" s="351"/>
      <c r="L14" s="179">
        <f>SUM(EquipOC[[#This Row],[Total (Option 1)]])</f>
        <v>0</v>
      </c>
      <c r="N14" s="38"/>
    </row>
    <row r="15" spans="2:14" ht="13.15" x14ac:dyDescent="0.25">
      <c r="C15" s="240"/>
      <c r="D15" s="240"/>
      <c r="E15" s="212"/>
      <c r="F15" s="212"/>
      <c r="G15" s="201"/>
      <c r="H15" s="216"/>
      <c r="I15" s="217"/>
      <c r="J15" s="218">
        <f>(EquipOC[[#This Row],[Hours Used]]*EquipOC[[#This Row],[Claimant''s Rate]])*0.4</f>
        <v>0</v>
      </c>
      <c r="K15" s="351"/>
      <c r="L15" s="179">
        <f>SUM(EquipOC[[#This Row],[Total (Option 1)]])</f>
        <v>0</v>
      </c>
      <c r="N15" s="38"/>
    </row>
    <row r="16" spans="2:14" ht="13.15" x14ac:dyDescent="0.25">
      <c r="C16" s="240"/>
      <c r="D16" s="240"/>
      <c r="E16" s="212"/>
      <c r="F16" s="212"/>
      <c r="G16" s="201"/>
      <c r="H16" s="216"/>
      <c r="I16" s="217"/>
      <c r="J16" s="218">
        <f>(EquipOC[[#This Row],[Hours Used]]*EquipOC[[#This Row],[Claimant''s Rate]])*0.4</f>
        <v>0</v>
      </c>
      <c r="K16" s="351"/>
      <c r="L16" s="179">
        <f>SUM(EquipOC[[#This Row],[Total (Option 1)]])</f>
        <v>0</v>
      </c>
      <c r="M16" s="44"/>
      <c r="N16" s="38"/>
    </row>
    <row r="17" spans="3:14" ht="13.15" x14ac:dyDescent="0.25">
      <c r="C17" s="240"/>
      <c r="D17" s="240"/>
      <c r="E17" s="212"/>
      <c r="F17" s="212"/>
      <c r="G17" s="201"/>
      <c r="H17" s="216"/>
      <c r="I17" s="217"/>
      <c r="J17" s="218">
        <f>(EquipOC[[#This Row],[Hours Used]]*EquipOC[[#This Row],[Claimant''s Rate]])*0.4</f>
        <v>0</v>
      </c>
      <c r="K17" s="351"/>
      <c r="L17" s="179">
        <f>SUM(EquipOC[[#This Row],[Total (Option 1)]])</f>
        <v>0</v>
      </c>
      <c r="M17" s="44"/>
      <c r="N17" s="38"/>
    </row>
    <row r="18" spans="3:14" ht="13.15" x14ac:dyDescent="0.25">
      <c r="C18" s="240"/>
      <c r="D18" s="240"/>
      <c r="E18" s="212"/>
      <c r="F18" s="212"/>
      <c r="G18" s="201"/>
      <c r="H18" s="216"/>
      <c r="I18" s="217"/>
      <c r="J18" s="218">
        <f>(EquipOC[[#This Row],[Hours Used]]*EquipOC[[#This Row],[Claimant''s Rate]])*0.4</f>
        <v>0</v>
      </c>
      <c r="K18" s="351"/>
      <c r="L18" s="179">
        <f>SUM(EquipOC[[#This Row],[Total (Option 1)]])</f>
        <v>0</v>
      </c>
      <c r="M18" s="44"/>
      <c r="N18" s="38"/>
    </row>
    <row r="19" spans="3:14" ht="13.15" x14ac:dyDescent="0.25">
      <c r="C19" s="240"/>
      <c r="D19" s="240"/>
      <c r="E19" s="212"/>
      <c r="F19" s="212"/>
      <c r="G19" s="201"/>
      <c r="H19" s="216"/>
      <c r="I19" s="217"/>
      <c r="J19" s="218">
        <f>(EquipOC[[#This Row],[Hours Used]]*EquipOC[[#This Row],[Claimant''s Rate]])*0.4</f>
        <v>0</v>
      </c>
      <c r="K19" s="351"/>
      <c r="L19" s="179">
        <f>SUM(EquipOC[[#This Row],[Total (Option 1)]])</f>
        <v>0</v>
      </c>
      <c r="M19" s="44"/>
      <c r="N19" s="38"/>
    </row>
    <row r="20" spans="3:14" ht="13.15" x14ac:dyDescent="0.25">
      <c r="C20" s="240"/>
      <c r="D20" s="240"/>
      <c r="E20" s="212"/>
      <c r="F20" s="212"/>
      <c r="G20" s="201"/>
      <c r="H20" s="216"/>
      <c r="I20" s="217"/>
      <c r="J20" s="218">
        <f>(EquipOC[[#This Row],[Hours Used]]*EquipOC[[#This Row],[Claimant''s Rate]])*0.4</f>
        <v>0</v>
      </c>
      <c r="K20" s="351"/>
      <c r="L20" s="179">
        <f>SUM(EquipOC[[#This Row],[Total (Option 1)]])</f>
        <v>0</v>
      </c>
      <c r="M20" s="44"/>
      <c r="N20" s="38"/>
    </row>
    <row r="21" spans="3:14" ht="13.15" x14ac:dyDescent="0.25">
      <c r="C21" s="240"/>
      <c r="D21" s="240"/>
      <c r="E21" s="212"/>
      <c r="F21" s="212"/>
      <c r="G21" s="201"/>
      <c r="H21" s="216"/>
      <c r="I21" s="217"/>
      <c r="J21" s="218">
        <f>(EquipOC[[#This Row],[Hours Used]]*EquipOC[[#This Row],[Claimant''s Rate]])*0.4</f>
        <v>0</v>
      </c>
      <c r="K21" s="351"/>
      <c r="L21" s="179">
        <f>SUM(EquipOC[[#This Row],[Total (Option 1)]])</f>
        <v>0</v>
      </c>
      <c r="M21" s="44"/>
      <c r="N21" s="38"/>
    </row>
    <row r="22" spans="3:14" ht="13.15" x14ac:dyDescent="0.25">
      <c r="C22" s="240"/>
      <c r="D22" s="240"/>
      <c r="E22" s="212"/>
      <c r="F22" s="212"/>
      <c r="G22" s="201"/>
      <c r="H22" s="216"/>
      <c r="I22" s="217"/>
      <c r="J22" s="218">
        <f>(EquipOC[[#This Row],[Hours Used]]*EquipOC[[#This Row],[Claimant''s Rate]])*0.4</f>
        <v>0</v>
      </c>
      <c r="K22" s="351"/>
      <c r="L22" s="179">
        <f>SUM(EquipOC[[#This Row],[Total (Option 1)]])</f>
        <v>0</v>
      </c>
      <c r="M22" s="44"/>
      <c r="N22" s="38"/>
    </row>
    <row r="23" spans="3:14" ht="13.15" x14ac:dyDescent="0.25">
      <c r="C23" s="240"/>
      <c r="D23" s="240"/>
      <c r="E23" s="212"/>
      <c r="F23" s="212"/>
      <c r="G23" s="201"/>
      <c r="H23" s="216"/>
      <c r="I23" s="217"/>
      <c r="J23" s="218">
        <f>(EquipOC[[#This Row],[Hours Used]]*EquipOC[[#This Row],[Claimant''s Rate]])*0.4</f>
        <v>0</v>
      </c>
      <c r="K23" s="351"/>
      <c r="L23" s="179">
        <f>SUM(EquipOC[[#This Row],[Total (Option 1)]])</f>
        <v>0</v>
      </c>
      <c r="M23" s="44"/>
      <c r="N23" s="38"/>
    </row>
    <row r="24" spans="3:14" ht="13.15" x14ac:dyDescent="0.25">
      <c r="C24" s="240"/>
      <c r="D24" s="240"/>
      <c r="E24" s="212"/>
      <c r="F24" s="212"/>
      <c r="G24" s="201"/>
      <c r="H24" s="216"/>
      <c r="I24" s="217"/>
      <c r="J24" s="218">
        <f>(EquipOC[[#This Row],[Hours Used]]*EquipOC[[#This Row],[Claimant''s Rate]])*0.4</f>
        <v>0</v>
      </c>
      <c r="K24" s="351"/>
      <c r="L24" s="179">
        <f>SUM(EquipOC[[#This Row],[Total (Option 1)]])</f>
        <v>0</v>
      </c>
      <c r="M24" s="44"/>
      <c r="N24" s="38"/>
    </row>
    <row r="25" spans="3:14" ht="13.15" x14ac:dyDescent="0.25">
      <c r="C25" s="240"/>
      <c r="D25" s="240"/>
      <c r="E25" s="212"/>
      <c r="F25" s="212"/>
      <c r="G25" s="212"/>
      <c r="H25" s="216"/>
      <c r="I25" s="217"/>
      <c r="J25" s="219">
        <f>(EquipOC[[#This Row],[Hours Used]]*EquipOC[[#This Row],[Claimant''s Rate]])*0.4</f>
        <v>0</v>
      </c>
      <c r="K25" s="351"/>
      <c r="L25" s="179">
        <f>SUM(EquipOC[[#This Row],[Total (Option 1)]])</f>
        <v>0</v>
      </c>
    </row>
    <row r="26" spans="3:14" ht="13.15" x14ac:dyDescent="0.25">
      <c r="C26" s="240"/>
      <c r="D26" s="240"/>
      <c r="E26" s="212"/>
      <c r="F26" s="212"/>
      <c r="G26" s="212"/>
      <c r="H26" s="216"/>
      <c r="I26" s="217"/>
      <c r="J26" s="219">
        <f>(EquipOC[[#This Row],[Hours Used]]*EquipOC[[#This Row],[Claimant''s Rate]])*0.4</f>
        <v>0</v>
      </c>
      <c r="K26" s="351"/>
      <c r="L26" s="179">
        <f>SUM(EquipOC[[#This Row],[Total (Option 1)]])</f>
        <v>0</v>
      </c>
    </row>
    <row r="27" spans="3:14" ht="13.15" x14ac:dyDescent="0.25">
      <c r="C27" s="240"/>
      <c r="D27" s="240"/>
      <c r="E27" s="212"/>
      <c r="F27" s="212"/>
      <c r="G27" s="212"/>
      <c r="H27" s="216"/>
      <c r="I27" s="217"/>
      <c r="J27" s="219">
        <f>(EquipOC[[#This Row],[Hours Used]]*EquipOC[[#This Row],[Claimant''s Rate]])*0.4</f>
        <v>0</v>
      </c>
      <c r="K27" s="351"/>
      <c r="L27" s="179">
        <f>SUM(EquipOC[[#This Row],[Total (Option 1)]])</f>
        <v>0</v>
      </c>
    </row>
    <row r="28" spans="3:14" ht="13.15" x14ac:dyDescent="0.25">
      <c r="C28" s="240"/>
      <c r="D28" s="240"/>
      <c r="E28" s="212"/>
      <c r="F28" s="212"/>
      <c r="G28" s="212"/>
      <c r="H28" s="216"/>
      <c r="I28" s="217"/>
      <c r="J28" s="219">
        <f>(EquipOC[[#This Row],[Hours Used]]*EquipOC[[#This Row],[Claimant''s Rate]])*0.4</f>
        <v>0</v>
      </c>
      <c r="K28" s="351"/>
      <c r="L28" s="179">
        <f>SUM(EquipOC[[#This Row],[Total (Option 1)]])</f>
        <v>0</v>
      </c>
    </row>
    <row r="29" spans="3:14" x14ac:dyDescent="0.2">
      <c r="C29" s="240"/>
      <c r="D29" s="240"/>
      <c r="E29" s="212"/>
      <c r="F29" s="212"/>
      <c r="G29" s="212"/>
      <c r="H29" s="216"/>
      <c r="I29" s="217"/>
      <c r="J29" s="219">
        <f>(EquipOC[[#This Row],[Hours Used]]*EquipOC[[#This Row],[Claimant''s Rate]])*0.4</f>
        <v>0</v>
      </c>
      <c r="K29" s="351"/>
      <c r="L29" s="179">
        <f>SUM(EquipOC[[#This Row],[Total (Option 1)]])</f>
        <v>0</v>
      </c>
    </row>
    <row r="30" spans="3:14" x14ac:dyDescent="0.2">
      <c r="C30" s="240"/>
      <c r="D30" s="240"/>
      <c r="E30" s="212"/>
      <c r="F30" s="212"/>
      <c r="G30" s="212"/>
      <c r="H30" s="216"/>
      <c r="I30" s="217"/>
      <c r="J30" s="219">
        <f>(EquipOC[[#This Row],[Hours Used]]*EquipOC[[#This Row],[Claimant''s Rate]])*0.4</f>
        <v>0</v>
      </c>
      <c r="K30" s="351"/>
      <c r="L30" s="179">
        <f>SUM(EquipOC[[#This Row],[Total (Option 1)]])</f>
        <v>0</v>
      </c>
    </row>
    <row r="31" spans="3:14" x14ac:dyDescent="0.2">
      <c r="C31" s="240"/>
      <c r="D31" s="240"/>
      <c r="E31" s="212"/>
      <c r="F31" s="212"/>
      <c r="G31" s="212"/>
      <c r="H31" s="216"/>
      <c r="I31" s="217"/>
      <c r="J31" s="219">
        <f>(EquipOC[[#This Row],[Hours Used]]*EquipOC[[#This Row],[Claimant''s Rate]])*0.4</f>
        <v>0</v>
      </c>
      <c r="K31" s="351"/>
      <c r="L31" s="179">
        <f>SUM(EquipOC[[#This Row],[Total (Option 1)]])</f>
        <v>0</v>
      </c>
    </row>
    <row r="32" spans="3:14" ht="15.75" thickBot="1" x14ac:dyDescent="0.25">
      <c r="C32" s="45"/>
      <c r="D32" s="40"/>
      <c r="E32" s="40"/>
      <c r="F32" s="40"/>
      <c r="G32" s="40"/>
      <c r="H32" s="121"/>
      <c r="I32" s="122"/>
      <c r="J32" s="210">
        <f>SUM(EquipOC[Total (Option 1)])</f>
        <v>960</v>
      </c>
      <c r="K32" s="123" t="s">
        <v>63</v>
      </c>
      <c r="L32" s="211">
        <f>SUM(EquipOC[Total Costs])</f>
        <v>960</v>
      </c>
    </row>
    <row r="33" spans="10:10" x14ac:dyDescent="0.2">
      <c r="J33" s="65"/>
    </row>
  </sheetData>
  <sheetProtection selectLockedCells="1"/>
  <mergeCells count="5">
    <mergeCell ref="B9:B11"/>
    <mergeCell ref="D3:F3"/>
    <mergeCell ref="C6:J6"/>
    <mergeCell ref="H7:J8"/>
    <mergeCell ref="D5:M5"/>
  </mergeCells>
  <conditionalFormatting sqref="K13:K31">
    <cfRule type="expression" dxfId="92" priority="1" stopIfTrue="1">
      <formula>$L13=0</formula>
    </cfRule>
    <cfRule type="expression" dxfId="91" priority="2">
      <formula>$K13=0</formula>
    </cfRule>
  </conditionalFormatting>
  <dataValidations count="3">
    <dataValidation type="date" allowBlank="1" showErrorMessage="1" errorTitle="Error" error="Please enter a valid date in the format YYYY/MM/DD" promptTitle="Date Format" prompt="Enter dates as YYYY/MM/DD" sqref="C14:D31">
      <formula1>40544</formula1>
      <formula2>73415</formula2>
    </dataValidation>
    <dataValidation type="decimal" operator="greaterThan" allowBlank="1" showInputMessage="1" showErrorMessage="1" errorTitle="Error" error="please enter a dollar value" sqref="I13:I31">
      <formula1>0</formula1>
    </dataValidation>
    <dataValidation type="date" allowBlank="1" showErrorMessage="1" errorTitle="Error" error="Please enter a valid date in the format YYYY/MM/DD" sqref="C13:D13">
      <formula1>41640</formula1>
      <formula2>73415</formula2>
    </dataValidation>
  </dataValidations>
  <pageMargins left="0.25" right="0.25" top="0.32096354166666669" bottom="0.75" header="0.3" footer="0.3"/>
  <pageSetup paperSize="5" scale="75" fitToHeight="0" orientation="landscape" horizontalDpi="300" verticalDpi="300" r:id="rId1"/>
  <headerFooter>
    <oddHeader>&amp;L&amp;G&amp;C&amp;"Arial,Bold"&amp;18&amp;K000000Claimant-Owned Equipment Operating Costs&amp;R&amp;"Arial,Bold"&amp;K000000Municipal Disaster Recovery Assistance Program</oddHeader>
    <oddFooter>&amp;RPage &amp;P of &amp;N</oddFooter>
  </headerFooter>
  <drawing r:id="rId2"/>
  <legacyDrawingHF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  <pageSetUpPr fitToPage="1"/>
  </sheetPr>
  <dimension ref="A1:O26"/>
  <sheetViews>
    <sheetView showGridLines="0" topLeftCell="B1" zoomScale="90" zoomScaleNormal="90" zoomScalePageLayoutView="80" workbookViewId="0">
      <pane ySplit="7" topLeftCell="A8" activePane="bottomLeft" state="frozen"/>
      <selection activeCell="B1" sqref="B1"/>
      <selection pane="bottomLeft" activeCell="C11" sqref="C11:E11"/>
    </sheetView>
  </sheetViews>
  <sheetFormatPr defaultRowHeight="12.75" x14ac:dyDescent="0.2"/>
  <cols>
    <col min="1" max="1" width="1" style="38" customWidth="1"/>
    <col min="2" max="2" width="4.625" style="38" customWidth="1"/>
    <col min="3" max="3" width="12.25" style="38" customWidth="1"/>
    <col min="4" max="4" width="12.5" style="38" customWidth="1"/>
    <col min="5" max="5" width="20.375" style="38" customWidth="1"/>
    <col min="6" max="6" width="19.625" style="38" customWidth="1"/>
    <col min="7" max="7" width="13.375" style="38" customWidth="1"/>
    <col min="8" max="8" width="11.625" style="38" customWidth="1"/>
    <col min="9" max="9" width="13.75" style="38" customWidth="1"/>
    <col min="10" max="10" width="19.125" style="38" customWidth="1"/>
    <col min="11" max="11" width="27.875" style="38" customWidth="1"/>
    <col min="12" max="12" width="21" style="38" customWidth="1"/>
    <col min="13" max="13" width="21.75" style="38" customWidth="1"/>
    <col min="14" max="14" width="16.625" style="38" customWidth="1"/>
    <col min="15" max="15" width="23" style="44" customWidth="1"/>
    <col min="16" max="16" width="14.625" style="38" customWidth="1"/>
    <col min="17" max="256" width="8" style="38"/>
    <col min="257" max="257" width="1" style="38" customWidth="1"/>
    <col min="258" max="258" width="16.25" style="38" customWidth="1"/>
    <col min="259" max="259" width="18.625" style="38" customWidth="1"/>
    <col min="260" max="260" width="6" style="38" customWidth="1"/>
    <col min="261" max="261" width="15.875" style="38" customWidth="1"/>
    <col min="262" max="262" width="10.375" style="38" customWidth="1"/>
    <col min="263" max="263" width="32.125" style="38" customWidth="1"/>
    <col min="264" max="264" width="13.625" style="38" customWidth="1"/>
    <col min="265" max="265" width="7.125" style="38" customWidth="1"/>
    <col min="266" max="266" width="4.375" style="38" customWidth="1"/>
    <col min="267" max="269" width="9.375" style="38" customWidth="1"/>
    <col min="270" max="512" width="8" style="38"/>
    <col min="513" max="513" width="1" style="38" customWidth="1"/>
    <col min="514" max="514" width="16.25" style="38" customWidth="1"/>
    <col min="515" max="515" width="18.625" style="38" customWidth="1"/>
    <col min="516" max="516" width="6" style="38" customWidth="1"/>
    <col min="517" max="517" width="15.875" style="38" customWidth="1"/>
    <col min="518" max="518" width="10.375" style="38" customWidth="1"/>
    <col min="519" max="519" width="32.125" style="38" customWidth="1"/>
    <col min="520" max="520" width="13.625" style="38" customWidth="1"/>
    <col min="521" max="521" width="7.125" style="38" customWidth="1"/>
    <col min="522" max="522" width="4.375" style="38" customWidth="1"/>
    <col min="523" max="525" width="9.375" style="38" customWidth="1"/>
    <col min="526" max="768" width="8" style="38"/>
    <col min="769" max="769" width="1" style="38" customWidth="1"/>
    <col min="770" max="770" width="16.25" style="38" customWidth="1"/>
    <col min="771" max="771" width="18.625" style="38" customWidth="1"/>
    <col min="772" max="772" width="6" style="38" customWidth="1"/>
    <col min="773" max="773" width="15.875" style="38" customWidth="1"/>
    <col min="774" max="774" width="10.375" style="38" customWidth="1"/>
    <col min="775" max="775" width="32.125" style="38" customWidth="1"/>
    <col min="776" max="776" width="13.625" style="38" customWidth="1"/>
    <col min="777" max="777" width="7.125" style="38" customWidth="1"/>
    <col min="778" max="778" width="4.375" style="38" customWidth="1"/>
    <col min="779" max="781" width="9.375" style="38" customWidth="1"/>
    <col min="782" max="1024" width="9" style="38"/>
    <col min="1025" max="1025" width="1" style="38" customWidth="1"/>
    <col min="1026" max="1026" width="16.25" style="38" customWidth="1"/>
    <col min="1027" max="1027" width="18.625" style="38" customWidth="1"/>
    <col min="1028" max="1028" width="6" style="38" customWidth="1"/>
    <col min="1029" max="1029" width="15.875" style="38" customWidth="1"/>
    <col min="1030" max="1030" width="10.375" style="38" customWidth="1"/>
    <col min="1031" max="1031" width="32.125" style="38" customWidth="1"/>
    <col min="1032" max="1032" width="13.625" style="38" customWidth="1"/>
    <col min="1033" max="1033" width="7.125" style="38" customWidth="1"/>
    <col min="1034" max="1034" width="4.375" style="38" customWidth="1"/>
    <col min="1035" max="1037" width="9.375" style="38" customWidth="1"/>
    <col min="1038" max="1280" width="8" style="38"/>
    <col min="1281" max="1281" width="1" style="38" customWidth="1"/>
    <col min="1282" max="1282" width="16.25" style="38" customWidth="1"/>
    <col min="1283" max="1283" width="18.625" style="38" customWidth="1"/>
    <col min="1284" max="1284" width="6" style="38" customWidth="1"/>
    <col min="1285" max="1285" width="15.875" style="38" customWidth="1"/>
    <col min="1286" max="1286" width="10.375" style="38" customWidth="1"/>
    <col min="1287" max="1287" width="32.125" style="38" customWidth="1"/>
    <col min="1288" max="1288" width="13.625" style="38" customWidth="1"/>
    <col min="1289" max="1289" width="7.125" style="38" customWidth="1"/>
    <col min="1290" max="1290" width="4.375" style="38" customWidth="1"/>
    <col min="1291" max="1293" width="9.375" style="38" customWidth="1"/>
    <col min="1294" max="1536" width="8" style="38"/>
    <col min="1537" max="1537" width="1" style="38" customWidth="1"/>
    <col min="1538" max="1538" width="16.25" style="38" customWidth="1"/>
    <col min="1539" max="1539" width="18.625" style="38" customWidth="1"/>
    <col min="1540" max="1540" width="6" style="38" customWidth="1"/>
    <col min="1541" max="1541" width="15.875" style="38" customWidth="1"/>
    <col min="1542" max="1542" width="10.375" style="38" customWidth="1"/>
    <col min="1543" max="1543" width="32.125" style="38" customWidth="1"/>
    <col min="1544" max="1544" width="13.625" style="38" customWidth="1"/>
    <col min="1545" max="1545" width="7.125" style="38" customWidth="1"/>
    <col min="1546" max="1546" width="4.375" style="38" customWidth="1"/>
    <col min="1547" max="1549" width="9.375" style="38" customWidth="1"/>
    <col min="1550" max="1792" width="8" style="38"/>
    <col min="1793" max="1793" width="1" style="38" customWidth="1"/>
    <col min="1794" max="1794" width="16.25" style="38" customWidth="1"/>
    <col min="1795" max="1795" width="18.625" style="38" customWidth="1"/>
    <col min="1796" max="1796" width="6" style="38" customWidth="1"/>
    <col min="1797" max="1797" width="15.875" style="38" customWidth="1"/>
    <col min="1798" max="1798" width="10.375" style="38" customWidth="1"/>
    <col min="1799" max="1799" width="32.125" style="38" customWidth="1"/>
    <col min="1800" max="1800" width="13.625" style="38" customWidth="1"/>
    <col min="1801" max="1801" width="7.125" style="38" customWidth="1"/>
    <col min="1802" max="1802" width="4.375" style="38" customWidth="1"/>
    <col min="1803" max="1805" width="9.375" style="38" customWidth="1"/>
    <col min="1806" max="2048" width="9" style="38"/>
    <col min="2049" max="2049" width="1" style="38" customWidth="1"/>
    <col min="2050" max="2050" width="16.25" style="38" customWidth="1"/>
    <col min="2051" max="2051" width="18.625" style="38" customWidth="1"/>
    <col min="2052" max="2052" width="6" style="38" customWidth="1"/>
    <col min="2053" max="2053" width="15.875" style="38" customWidth="1"/>
    <col min="2054" max="2054" width="10.375" style="38" customWidth="1"/>
    <col min="2055" max="2055" width="32.125" style="38" customWidth="1"/>
    <col min="2056" max="2056" width="13.625" style="38" customWidth="1"/>
    <col min="2057" max="2057" width="7.125" style="38" customWidth="1"/>
    <col min="2058" max="2058" width="4.375" style="38" customWidth="1"/>
    <col min="2059" max="2061" width="9.375" style="38" customWidth="1"/>
    <col min="2062" max="2304" width="8" style="38"/>
    <col min="2305" max="2305" width="1" style="38" customWidth="1"/>
    <col min="2306" max="2306" width="16.25" style="38" customWidth="1"/>
    <col min="2307" max="2307" width="18.625" style="38" customWidth="1"/>
    <col min="2308" max="2308" width="6" style="38" customWidth="1"/>
    <col min="2309" max="2309" width="15.875" style="38" customWidth="1"/>
    <col min="2310" max="2310" width="10.375" style="38" customWidth="1"/>
    <col min="2311" max="2311" width="32.125" style="38" customWidth="1"/>
    <col min="2312" max="2312" width="13.625" style="38" customWidth="1"/>
    <col min="2313" max="2313" width="7.125" style="38" customWidth="1"/>
    <col min="2314" max="2314" width="4.375" style="38" customWidth="1"/>
    <col min="2315" max="2317" width="9.375" style="38" customWidth="1"/>
    <col min="2318" max="2560" width="8" style="38"/>
    <col min="2561" max="2561" width="1" style="38" customWidth="1"/>
    <col min="2562" max="2562" width="16.25" style="38" customWidth="1"/>
    <col min="2563" max="2563" width="18.625" style="38" customWidth="1"/>
    <col min="2564" max="2564" width="6" style="38" customWidth="1"/>
    <col min="2565" max="2565" width="15.875" style="38" customWidth="1"/>
    <col min="2566" max="2566" width="10.375" style="38" customWidth="1"/>
    <col min="2567" max="2567" width="32.125" style="38" customWidth="1"/>
    <col min="2568" max="2568" width="13.625" style="38" customWidth="1"/>
    <col min="2569" max="2569" width="7.125" style="38" customWidth="1"/>
    <col min="2570" max="2570" width="4.375" style="38" customWidth="1"/>
    <col min="2571" max="2573" width="9.375" style="38" customWidth="1"/>
    <col min="2574" max="2816" width="8" style="38"/>
    <col min="2817" max="2817" width="1" style="38" customWidth="1"/>
    <col min="2818" max="2818" width="16.25" style="38" customWidth="1"/>
    <col min="2819" max="2819" width="18.625" style="38" customWidth="1"/>
    <col min="2820" max="2820" width="6" style="38" customWidth="1"/>
    <col min="2821" max="2821" width="15.875" style="38" customWidth="1"/>
    <col min="2822" max="2822" width="10.375" style="38" customWidth="1"/>
    <col min="2823" max="2823" width="32.125" style="38" customWidth="1"/>
    <col min="2824" max="2824" width="13.625" style="38" customWidth="1"/>
    <col min="2825" max="2825" width="7.125" style="38" customWidth="1"/>
    <col min="2826" max="2826" width="4.375" style="38" customWidth="1"/>
    <col min="2827" max="2829" width="9.375" style="38" customWidth="1"/>
    <col min="2830" max="3072" width="9" style="38"/>
    <col min="3073" max="3073" width="1" style="38" customWidth="1"/>
    <col min="3074" max="3074" width="16.25" style="38" customWidth="1"/>
    <col min="3075" max="3075" width="18.625" style="38" customWidth="1"/>
    <col min="3076" max="3076" width="6" style="38" customWidth="1"/>
    <col min="3077" max="3077" width="15.875" style="38" customWidth="1"/>
    <col min="3078" max="3078" width="10.375" style="38" customWidth="1"/>
    <col min="3079" max="3079" width="32.125" style="38" customWidth="1"/>
    <col min="3080" max="3080" width="13.625" style="38" customWidth="1"/>
    <col min="3081" max="3081" width="7.125" style="38" customWidth="1"/>
    <col min="3082" max="3082" width="4.375" style="38" customWidth="1"/>
    <col min="3083" max="3085" width="9.375" style="38" customWidth="1"/>
    <col min="3086" max="3328" width="8" style="38"/>
    <col min="3329" max="3329" width="1" style="38" customWidth="1"/>
    <col min="3330" max="3330" width="16.25" style="38" customWidth="1"/>
    <col min="3331" max="3331" width="18.625" style="38" customWidth="1"/>
    <col min="3332" max="3332" width="6" style="38" customWidth="1"/>
    <col min="3333" max="3333" width="15.875" style="38" customWidth="1"/>
    <col min="3334" max="3334" width="10.375" style="38" customWidth="1"/>
    <col min="3335" max="3335" width="32.125" style="38" customWidth="1"/>
    <col min="3336" max="3336" width="13.625" style="38" customWidth="1"/>
    <col min="3337" max="3337" width="7.125" style="38" customWidth="1"/>
    <col min="3338" max="3338" width="4.375" style="38" customWidth="1"/>
    <col min="3339" max="3341" width="9.375" style="38" customWidth="1"/>
    <col min="3342" max="3584" width="8" style="38"/>
    <col min="3585" max="3585" width="1" style="38" customWidth="1"/>
    <col min="3586" max="3586" width="16.25" style="38" customWidth="1"/>
    <col min="3587" max="3587" width="18.625" style="38" customWidth="1"/>
    <col min="3588" max="3588" width="6" style="38" customWidth="1"/>
    <col min="3589" max="3589" width="15.875" style="38" customWidth="1"/>
    <col min="3590" max="3590" width="10.375" style="38" customWidth="1"/>
    <col min="3591" max="3591" width="32.125" style="38" customWidth="1"/>
    <col min="3592" max="3592" width="13.625" style="38" customWidth="1"/>
    <col min="3593" max="3593" width="7.125" style="38" customWidth="1"/>
    <col min="3594" max="3594" width="4.375" style="38" customWidth="1"/>
    <col min="3595" max="3597" width="9.375" style="38" customWidth="1"/>
    <col min="3598" max="3840" width="8" style="38"/>
    <col min="3841" max="3841" width="1" style="38" customWidth="1"/>
    <col min="3842" max="3842" width="16.25" style="38" customWidth="1"/>
    <col min="3843" max="3843" width="18.625" style="38" customWidth="1"/>
    <col min="3844" max="3844" width="6" style="38" customWidth="1"/>
    <col min="3845" max="3845" width="15.875" style="38" customWidth="1"/>
    <col min="3846" max="3846" width="10.375" style="38" customWidth="1"/>
    <col min="3847" max="3847" width="32.125" style="38" customWidth="1"/>
    <col min="3848" max="3848" width="13.625" style="38" customWidth="1"/>
    <col min="3849" max="3849" width="7.125" style="38" customWidth="1"/>
    <col min="3850" max="3850" width="4.375" style="38" customWidth="1"/>
    <col min="3851" max="3853" width="9.375" style="38" customWidth="1"/>
    <col min="3854" max="4096" width="9" style="38"/>
    <col min="4097" max="4097" width="1" style="38" customWidth="1"/>
    <col min="4098" max="4098" width="16.25" style="38" customWidth="1"/>
    <col min="4099" max="4099" width="18.625" style="38" customWidth="1"/>
    <col min="4100" max="4100" width="6" style="38" customWidth="1"/>
    <col min="4101" max="4101" width="15.875" style="38" customWidth="1"/>
    <col min="4102" max="4102" width="10.375" style="38" customWidth="1"/>
    <col min="4103" max="4103" width="32.125" style="38" customWidth="1"/>
    <col min="4104" max="4104" width="13.625" style="38" customWidth="1"/>
    <col min="4105" max="4105" width="7.125" style="38" customWidth="1"/>
    <col min="4106" max="4106" width="4.375" style="38" customWidth="1"/>
    <col min="4107" max="4109" width="9.375" style="38" customWidth="1"/>
    <col min="4110" max="4352" width="8" style="38"/>
    <col min="4353" max="4353" width="1" style="38" customWidth="1"/>
    <col min="4354" max="4354" width="16.25" style="38" customWidth="1"/>
    <col min="4355" max="4355" width="18.625" style="38" customWidth="1"/>
    <col min="4356" max="4356" width="6" style="38" customWidth="1"/>
    <col min="4357" max="4357" width="15.875" style="38" customWidth="1"/>
    <col min="4358" max="4358" width="10.375" style="38" customWidth="1"/>
    <col min="4359" max="4359" width="32.125" style="38" customWidth="1"/>
    <col min="4360" max="4360" width="13.625" style="38" customWidth="1"/>
    <col min="4361" max="4361" width="7.125" style="38" customWidth="1"/>
    <col min="4362" max="4362" width="4.375" style="38" customWidth="1"/>
    <col min="4363" max="4365" width="9.375" style="38" customWidth="1"/>
    <col min="4366" max="4608" width="8" style="38"/>
    <col min="4609" max="4609" width="1" style="38" customWidth="1"/>
    <col min="4610" max="4610" width="16.25" style="38" customWidth="1"/>
    <col min="4611" max="4611" width="18.625" style="38" customWidth="1"/>
    <col min="4612" max="4612" width="6" style="38" customWidth="1"/>
    <col min="4613" max="4613" width="15.875" style="38" customWidth="1"/>
    <col min="4614" max="4614" width="10.375" style="38" customWidth="1"/>
    <col min="4615" max="4615" width="32.125" style="38" customWidth="1"/>
    <col min="4616" max="4616" width="13.625" style="38" customWidth="1"/>
    <col min="4617" max="4617" width="7.125" style="38" customWidth="1"/>
    <col min="4618" max="4618" width="4.375" style="38" customWidth="1"/>
    <col min="4619" max="4621" width="9.375" style="38" customWidth="1"/>
    <col min="4622" max="4864" width="8" style="38"/>
    <col min="4865" max="4865" width="1" style="38" customWidth="1"/>
    <col min="4866" max="4866" width="16.25" style="38" customWidth="1"/>
    <col min="4867" max="4867" width="18.625" style="38" customWidth="1"/>
    <col min="4868" max="4868" width="6" style="38" customWidth="1"/>
    <col min="4869" max="4869" width="15.875" style="38" customWidth="1"/>
    <col min="4870" max="4870" width="10.375" style="38" customWidth="1"/>
    <col min="4871" max="4871" width="32.125" style="38" customWidth="1"/>
    <col min="4872" max="4872" width="13.625" style="38" customWidth="1"/>
    <col min="4873" max="4873" width="7.125" style="38" customWidth="1"/>
    <col min="4874" max="4874" width="4.375" style="38" customWidth="1"/>
    <col min="4875" max="4877" width="9.375" style="38" customWidth="1"/>
    <col min="4878" max="5120" width="9" style="38"/>
    <col min="5121" max="5121" width="1" style="38" customWidth="1"/>
    <col min="5122" max="5122" width="16.25" style="38" customWidth="1"/>
    <col min="5123" max="5123" width="18.625" style="38" customWidth="1"/>
    <col min="5124" max="5124" width="6" style="38" customWidth="1"/>
    <col min="5125" max="5125" width="15.875" style="38" customWidth="1"/>
    <col min="5126" max="5126" width="10.375" style="38" customWidth="1"/>
    <col min="5127" max="5127" width="32.125" style="38" customWidth="1"/>
    <col min="5128" max="5128" width="13.625" style="38" customWidth="1"/>
    <col min="5129" max="5129" width="7.125" style="38" customWidth="1"/>
    <col min="5130" max="5130" width="4.375" style="38" customWidth="1"/>
    <col min="5131" max="5133" width="9.375" style="38" customWidth="1"/>
    <col min="5134" max="5376" width="8" style="38"/>
    <col min="5377" max="5377" width="1" style="38" customWidth="1"/>
    <col min="5378" max="5378" width="16.25" style="38" customWidth="1"/>
    <col min="5379" max="5379" width="18.625" style="38" customWidth="1"/>
    <col min="5380" max="5380" width="6" style="38" customWidth="1"/>
    <col min="5381" max="5381" width="15.875" style="38" customWidth="1"/>
    <col min="5382" max="5382" width="10.375" style="38" customWidth="1"/>
    <col min="5383" max="5383" width="32.125" style="38" customWidth="1"/>
    <col min="5384" max="5384" width="13.625" style="38" customWidth="1"/>
    <col min="5385" max="5385" width="7.125" style="38" customWidth="1"/>
    <col min="5386" max="5386" width="4.375" style="38" customWidth="1"/>
    <col min="5387" max="5389" width="9.375" style="38" customWidth="1"/>
    <col min="5390" max="5632" width="8" style="38"/>
    <col min="5633" max="5633" width="1" style="38" customWidth="1"/>
    <col min="5634" max="5634" width="16.25" style="38" customWidth="1"/>
    <col min="5635" max="5635" width="18.625" style="38" customWidth="1"/>
    <col min="5636" max="5636" width="6" style="38" customWidth="1"/>
    <col min="5637" max="5637" width="15.875" style="38" customWidth="1"/>
    <col min="5638" max="5638" width="10.375" style="38" customWidth="1"/>
    <col min="5639" max="5639" width="32.125" style="38" customWidth="1"/>
    <col min="5640" max="5640" width="13.625" style="38" customWidth="1"/>
    <col min="5641" max="5641" width="7.125" style="38" customWidth="1"/>
    <col min="5642" max="5642" width="4.375" style="38" customWidth="1"/>
    <col min="5643" max="5645" width="9.375" style="38" customWidth="1"/>
    <col min="5646" max="5888" width="8" style="38"/>
    <col min="5889" max="5889" width="1" style="38" customWidth="1"/>
    <col min="5890" max="5890" width="16.25" style="38" customWidth="1"/>
    <col min="5891" max="5891" width="18.625" style="38" customWidth="1"/>
    <col min="5892" max="5892" width="6" style="38" customWidth="1"/>
    <col min="5893" max="5893" width="15.875" style="38" customWidth="1"/>
    <col min="5894" max="5894" width="10.375" style="38" customWidth="1"/>
    <col min="5895" max="5895" width="32.125" style="38" customWidth="1"/>
    <col min="5896" max="5896" width="13.625" style="38" customWidth="1"/>
    <col min="5897" max="5897" width="7.125" style="38" customWidth="1"/>
    <col min="5898" max="5898" width="4.375" style="38" customWidth="1"/>
    <col min="5899" max="5901" width="9.375" style="38" customWidth="1"/>
    <col min="5902" max="6144" width="9" style="38"/>
    <col min="6145" max="6145" width="1" style="38" customWidth="1"/>
    <col min="6146" max="6146" width="16.25" style="38" customWidth="1"/>
    <col min="6147" max="6147" width="18.625" style="38" customWidth="1"/>
    <col min="6148" max="6148" width="6" style="38" customWidth="1"/>
    <col min="6149" max="6149" width="15.875" style="38" customWidth="1"/>
    <col min="6150" max="6150" width="10.375" style="38" customWidth="1"/>
    <col min="6151" max="6151" width="32.125" style="38" customWidth="1"/>
    <col min="6152" max="6152" width="13.625" style="38" customWidth="1"/>
    <col min="6153" max="6153" width="7.125" style="38" customWidth="1"/>
    <col min="6154" max="6154" width="4.375" style="38" customWidth="1"/>
    <col min="6155" max="6157" width="9.375" style="38" customWidth="1"/>
    <col min="6158" max="6400" width="8" style="38"/>
    <col min="6401" max="6401" width="1" style="38" customWidth="1"/>
    <col min="6402" max="6402" width="16.25" style="38" customWidth="1"/>
    <col min="6403" max="6403" width="18.625" style="38" customWidth="1"/>
    <col min="6404" max="6404" width="6" style="38" customWidth="1"/>
    <col min="6405" max="6405" width="15.875" style="38" customWidth="1"/>
    <col min="6406" max="6406" width="10.375" style="38" customWidth="1"/>
    <col min="6407" max="6407" width="32.125" style="38" customWidth="1"/>
    <col min="6408" max="6408" width="13.625" style="38" customWidth="1"/>
    <col min="6409" max="6409" width="7.125" style="38" customWidth="1"/>
    <col min="6410" max="6410" width="4.375" style="38" customWidth="1"/>
    <col min="6411" max="6413" width="9.375" style="38" customWidth="1"/>
    <col min="6414" max="6656" width="8" style="38"/>
    <col min="6657" max="6657" width="1" style="38" customWidth="1"/>
    <col min="6658" max="6658" width="16.25" style="38" customWidth="1"/>
    <col min="6659" max="6659" width="18.625" style="38" customWidth="1"/>
    <col min="6660" max="6660" width="6" style="38" customWidth="1"/>
    <col min="6661" max="6661" width="15.875" style="38" customWidth="1"/>
    <col min="6662" max="6662" width="10.375" style="38" customWidth="1"/>
    <col min="6663" max="6663" width="32.125" style="38" customWidth="1"/>
    <col min="6664" max="6664" width="13.625" style="38" customWidth="1"/>
    <col min="6665" max="6665" width="7.125" style="38" customWidth="1"/>
    <col min="6666" max="6666" width="4.375" style="38" customWidth="1"/>
    <col min="6667" max="6669" width="9.375" style="38" customWidth="1"/>
    <col min="6670" max="6912" width="8" style="38"/>
    <col min="6913" max="6913" width="1" style="38" customWidth="1"/>
    <col min="6914" max="6914" width="16.25" style="38" customWidth="1"/>
    <col min="6915" max="6915" width="18.625" style="38" customWidth="1"/>
    <col min="6916" max="6916" width="6" style="38" customWidth="1"/>
    <col min="6917" max="6917" width="15.875" style="38" customWidth="1"/>
    <col min="6918" max="6918" width="10.375" style="38" customWidth="1"/>
    <col min="6919" max="6919" width="32.125" style="38" customWidth="1"/>
    <col min="6920" max="6920" width="13.625" style="38" customWidth="1"/>
    <col min="6921" max="6921" width="7.125" style="38" customWidth="1"/>
    <col min="6922" max="6922" width="4.375" style="38" customWidth="1"/>
    <col min="6923" max="6925" width="9.375" style="38" customWidth="1"/>
    <col min="6926" max="7168" width="9" style="38"/>
    <col min="7169" max="7169" width="1" style="38" customWidth="1"/>
    <col min="7170" max="7170" width="16.25" style="38" customWidth="1"/>
    <col min="7171" max="7171" width="18.625" style="38" customWidth="1"/>
    <col min="7172" max="7172" width="6" style="38" customWidth="1"/>
    <col min="7173" max="7173" width="15.875" style="38" customWidth="1"/>
    <col min="7174" max="7174" width="10.375" style="38" customWidth="1"/>
    <col min="7175" max="7175" width="32.125" style="38" customWidth="1"/>
    <col min="7176" max="7176" width="13.625" style="38" customWidth="1"/>
    <col min="7177" max="7177" width="7.125" style="38" customWidth="1"/>
    <col min="7178" max="7178" width="4.375" style="38" customWidth="1"/>
    <col min="7179" max="7181" width="9.375" style="38" customWidth="1"/>
    <col min="7182" max="7424" width="8" style="38"/>
    <col min="7425" max="7425" width="1" style="38" customWidth="1"/>
    <col min="7426" max="7426" width="16.25" style="38" customWidth="1"/>
    <col min="7427" max="7427" width="18.625" style="38" customWidth="1"/>
    <col min="7428" max="7428" width="6" style="38" customWidth="1"/>
    <col min="7429" max="7429" width="15.875" style="38" customWidth="1"/>
    <col min="7430" max="7430" width="10.375" style="38" customWidth="1"/>
    <col min="7431" max="7431" width="32.125" style="38" customWidth="1"/>
    <col min="7432" max="7432" width="13.625" style="38" customWidth="1"/>
    <col min="7433" max="7433" width="7.125" style="38" customWidth="1"/>
    <col min="7434" max="7434" width="4.375" style="38" customWidth="1"/>
    <col min="7435" max="7437" width="9.375" style="38" customWidth="1"/>
    <col min="7438" max="7680" width="8" style="38"/>
    <col min="7681" max="7681" width="1" style="38" customWidth="1"/>
    <col min="7682" max="7682" width="16.25" style="38" customWidth="1"/>
    <col min="7683" max="7683" width="18.625" style="38" customWidth="1"/>
    <col min="7684" max="7684" width="6" style="38" customWidth="1"/>
    <col min="7685" max="7685" width="15.875" style="38" customWidth="1"/>
    <col min="7686" max="7686" width="10.375" style="38" customWidth="1"/>
    <col min="7687" max="7687" width="32.125" style="38" customWidth="1"/>
    <col min="7688" max="7688" width="13.625" style="38" customWidth="1"/>
    <col min="7689" max="7689" width="7.125" style="38" customWidth="1"/>
    <col min="7690" max="7690" width="4.375" style="38" customWidth="1"/>
    <col min="7691" max="7693" width="9.375" style="38" customWidth="1"/>
    <col min="7694" max="7936" width="8" style="38"/>
    <col min="7937" max="7937" width="1" style="38" customWidth="1"/>
    <col min="7938" max="7938" width="16.25" style="38" customWidth="1"/>
    <col min="7939" max="7939" width="18.625" style="38" customWidth="1"/>
    <col min="7940" max="7940" width="6" style="38" customWidth="1"/>
    <col min="7941" max="7941" width="15.875" style="38" customWidth="1"/>
    <col min="7942" max="7942" width="10.375" style="38" customWidth="1"/>
    <col min="7943" max="7943" width="32.125" style="38" customWidth="1"/>
    <col min="7944" max="7944" width="13.625" style="38" customWidth="1"/>
    <col min="7945" max="7945" width="7.125" style="38" customWidth="1"/>
    <col min="7946" max="7946" width="4.375" style="38" customWidth="1"/>
    <col min="7947" max="7949" width="9.375" style="38" customWidth="1"/>
    <col min="7950" max="8192" width="9" style="38"/>
    <col min="8193" max="8193" width="1" style="38" customWidth="1"/>
    <col min="8194" max="8194" width="16.25" style="38" customWidth="1"/>
    <col min="8195" max="8195" width="18.625" style="38" customWidth="1"/>
    <col min="8196" max="8196" width="6" style="38" customWidth="1"/>
    <col min="8197" max="8197" width="15.875" style="38" customWidth="1"/>
    <col min="8198" max="8198" width="10.375" style="38" customWidth="1"/>
    <col min="8199" max="8199" width="32.125" style="38" customWidth="1"/>
    <col min="8200" max="8200" width="13.625" style="38" customWidth="1"/>
    <col min="8201" max="8201" width="7.125" style="38" customWidth="1"/>
    <col min="8202" max="8202" width="4.375" style="38" customWidth="1"/>
    <col min="8203" max="8205" width="9.375" style="38" customWidth="1"/>
    <col min="8206" max="8448" width="8" style="38"/>
    <col min="8449" max="8449" width="1" style="38" customWidth="1"/>
    <col min="8450" max="8450" width="16.25" style="38" customWidth="1"/>
    <col min="8451" max="8451" width="18.625" style="38" customWidth="1"/>
    <col min="8452" max="8452" width="6" style="38" customWidth="1"/>
    <col min="8453" max="8453" width="15.875" style="38" customWidth="1"/>
    <col min="8454" max="8454" width="10.375" style="38" customWidth="1"/>
    <col min="8455" max="8455" width="32.125" style="38" customWidth="1"/>
    <col min="8456" max="8456" width="13.625" style="38" customWidth="1"/>
    <col min="8457" max="8457" width="7.125" style="38" customWidth="1"/>
    <col min="8458" max="8458" width="4.375" style="38" customWidth="1"/>
    <col min="8459" max="8461" width="9.375" style="38" customWidth="1"/>
    <col min="8462" max="8704" width="8" style="38"/>
    <col min="8705" max="8705" width="1" style="38" customWidth="1"/>
    <col min="8706" max="8706" width="16.25" style="38" customWidth="1"/>
    <col min="8707" max="8707" width="18.625" style="38" customWidth="1"/>
    <col min="8708" max="8708" width="6" style="38" customWidth="1"/>
    <col min="8709" max="8709" width="15.875" style="38" customWidth="1"/>
    <col min="8710" max="8710" width="10.375" style="38" customWidth="1"/>
    <col min="8711" max="8711" width="32.125" style="38" customWidth="1"/>
    <col min="8712" max="8712" width="13.625" style="38" customWidth="1"/>
    <col min="8713" max="8713" width="7.125" style="38" customWidth="1"/>
    <col min="8714" max="8714" width="4.375" style="38" customWidth="1"/>
    <col min="8715" max="8717" width="9.375" style="38" customWidth="1"/>
    <col min="8718" max="8960" width="8" style="38"/>
    <col min="8961" max="8961" width="1" style="38" customWidth="1"/>
    <col min="8962" max="8962" width="16.25" style="38" customWidth="1"/>
    <col min="8963" max="8963" width="18.625" style="38" customWidth="1"/>
    <col min="8964" max="8964" width="6" style="38" customWidth="1"/>
    <col min="8965" max="8965" width="15.875" style="38" customWidth="1"/>
    <col min="8966" max="8966" width="10.375" style="38" customWidth="1"/>
    <col min="8967" max="8967" width="32.125" style="38" customWidth="1"/>
    <col min="8968" max="8968" width="13.625" style="38" customWidth="1"/>
    <col min="8969" max="8969" width="7.125" style="38" customWidth="1"/>
    <col min="8970" max="8970" width="4.375" style="38" customWidth="1"/>
    <col min="8971" max="8973" width="9.375" style="38" customWidth="1"/>
    <col min="8974" max="9216" width="9" style="38"/>
    <col min="9217" max="9217" width="1" style="38" customWidth="1"/>
    <col min="9218" max="9218" width="16.25" style="38" customWidth="1"/>
    <col min="9219" max="9219" width="18.625" style="38" customWidth="1"/>
    <col min="9220" max="9220" width="6" style="38" customWidth="1"/>
    <col min="9221" max="9221" width="15.875" style="38" customWidth="1"/>
    <col min="9222" max="9222" width="10.375" style="38" customWidth="1"/>
    <col min="9223" max="9223" width="32.125" style="38" customWidth="1"/>
    <col min="9224" max="9224" width="13.625" style="38" customWidth="1"/>
    <col min="9225" max="9225" width="7.125" style="38" customWidth="1"/>
    <col min="9226" max="9226" width="4.375" style="38" customWidth="1"/>
    <col min="9227" max="9229" width="9.375" style="38" customWidth="1"/>
    <col min="9230" max="9472" width="8" style="38"/>
    <col min="9473" max="9473" width="1" style="38" customWidth="1"/>
    <col min="9474" max="9474" width="16.25" style="38" customWidth="1"/>
    <col min="9475" max="9475" width="18.625" style="38" customWidth="1"/>
    <col min="9476" max="9476" width="6" style="38" customWidth="1"/>
    <col min="9477" max="9477" width="15.875" style="38" customWidth="1"/>
    <col min="9478" max="9478" width="10.375" style="38" customWidth="1"/>
    <col min="9479" max="9479" width="32.125" style="38" customWidth="1"/>
    <col min="9480" max="9480" width="13.625" style="38" customWidth="1"/>
    <col min="9481" max="9481" width="7.125" style="38" customWidth="1"/>
    <col min="9482" max="9482" width="4.375" style="38" customWidth="1"/>
    <col min="9483" max="9485" width="9.375" style="38" customWidth="1"/>
    <col min="9486" max="9728" width="8" style="38"/>
    <col min="9729" max="9729" width="1" style="38" customWidth="1"/>
    <col min="9730" max="9730" width="16.25" style="38" customWidth="1"/>
    <col min="9731" max="9731" width="18.625" style="38" customWidth="1"/>
    <col min="9732" max="9732" width="6" style="38" customWidth="1"/>
    <col min="9733" max="9733" width="15.875" style="38" customWidth="1"/>
    <col min="9734" max="9734" width="10.375" style="38" customWidth="1"/>
    <col min="9735" max="9735" width="32.125" style="38" customWidth="1"/>
    <col min="9736" max="9736" width="13.625" style="38" customWidth="1"/>
    <col min="9737" max="9737" width="7.125" style="38" customWidth="1"/>
    <col min="9738" max="9738" width="4.375" style="38" customWidth="1"/>
    <col min="9739" max="9741" width="9.375" style="38" customWidth="1"/>
    <col min="9742" max="9984" width="8" style="38"/>
    <col min="9985" max="9985" width="1" style="38" customWidth="1"/>
    <col min="9986" max="9986" width="16.25" style="38" customWidth="1"/>
    <col min="9987" max="9987" width="18.625" style="38" customWidth="1"/>
    <col min="9988" max="9988" width="6" style="38" customWidth="1"/>
    <col min="9989" max="9989" width="15.875" style="38" customWidth="1"/>
    <col min="9990" max="9990" width="10.375" style="38" customWidth="1"/>
    <col min="9991" max="9991" width="32.125" style="38" customWidth="1"/>
    <col min="9992" max="9992" width="13.625" style="38" customWidth="1"/>
    <col min="9993" max="9993" width="7.125" style="38" customWidth="1"/>
    <col min="9994" max="9994" width="4.375" style="38" customWidth="1"/>
    <col min="9995" max="9997" width="9.375" style="38" customWidth="1"/>
    <col min="9998" max="10240" width="9" style="38"/>
    <col min="10241" max="10241" width="1" style="38" customWidth="1"/>
    <col min="10242" max="10242" width="16.25" style="38" customWidth="1"/>
    <col min="10243" max="10243" width="18.625" style="38" customWidth="1"/>
    <col min="10244" max="10244" width="6" style="38" customWidth="1"/>
    <col min="10245" max="10245" width="15.875" style="38" customWidth="1"/>
    <col min="10246" max="10246" width="10.375" style="38" customWidth="1"/>
    <col min="10247" max="10247" width="32.125" style="38" customWidth="1"/>
    <col min="10248" max="10248" width="13.625" style="38" customWidth="1"/>
    <col min="10249" max="10249" width="7.125" style="38" customWidth="1"/>
    <col min="10250" max="10250" width="4.375" style="38" customWidth="1"/>
    <col min="10251" max="10253" width="9.375" style="38" customWidth="1"/>
    <col min="10254" max="10496" width="8" style="38"/>
    <col min="10497" max="10497" width="1" style="38" customWidth="1"/>
    <col min="10498" max="10498" width="16.25" style="38" customWidth="1"/>
    <col min="10499" max="10499" width="18.625" style="38" customWidth="1"/>
    <col min="10500" max="10500" width="6" style="38" customWidth="1"/>
    <col min="10501" max="10501" width="15.875" style="38" customWidth="1"/>
    <col min="10502" max="10502" width="10.375" style="38" customWidth="1"/>
    <col min="10503" max="10503" width="32.125" style="38" customWidth="1"/>
    <col min="10504" max="10504" width="13.625" style="38" customWidth="1"/>
    <col min="10505" max="10505" width="7.125" style="38" customWidth="1"/>
    <col min="10506" max="10506" width="4.375" style="38" customWidth="1"/>
    <col min="10507" max="10509" width="9.375" style="38" customWidth="1"/>
    <col min="10510" max="10752" width="8" style="38"/>
    <col min="10753" max="10753" width="1" style="38" customWidth="1"/>
    <col min="10754" max="10754" width="16.25" style="38" customWidth="1"/>
    <col min="10755" max="10755" width="18.625" style="38" customWidth="1"/>
    <col min="10756" max="10756" width="6" style="38" customWidth="1"/>
    <col min="10757" max="10757" width="15.875" style="38" customWidth="1"/>
    <col min="10758" max="10758" width="10.375" style="38" customWidth="1"/>
    <col min="10759" max="10759" width="32.125" style="38" customWidth="1"/>
    <col min="10760" max="10760" width="13.625" style="38" customWidth="1"/>
    <col min="10761" max="10761" width="7.125" style="38" customWidth="1"/>
    <col min="10762" max="10762" width="4.375" style="38" customWidth="1"/>
    <col min="10763" max="10765" width="9.375" style="38" customWidth="1"/>
    <col min="10766" max="11008" width="8" style="38"/>
    <col min="11009" max="11009" width="1" style="38" customWidth="1"/>
    <col min="11010" max="11010" width="16.25" style="38" customWidth="1"/>
    <col min="11011" max="11011" width="18.625" style="38" customWidth="1"/>
    <col min="11012" max="11012" width="6" style="38" customWidth="1"/>
    <col min="11013" max="11013" width="15.875" style="38" customWidth="1"/>
    <col min="11014" max="11014" width="10.375" style="38" customWidth="1"/>
    <col min="11015" max="11015" width="32.125" style="38" customWidth="1"/>
    <col min="11016" max="11016" width="13.625" style="38" customWidth="1"/>
    <col min="11017" max="11017" width="7.125" style="38" customWidth="1"/>
    <col min="11018" max="11018" width="4.375" style="38" customWidth="1"/>
    <col min="11019" max="11021" width="9.375" style="38" customWidth="1"/>
    <col min="11022" max="11264" width="9" style="38"/>
    <col min="11265" max="11265" width="1" style="38" customWidth="1"/>
    <col min="11266" max="11266" width="16.25" style="38" customWidth="1"/>
    <col min="11267" max="11267" width="18.625" style="38" customWidth="1"/>
    <col min="11268" max="11268" width="6" style="38" customWidth="1"/>
    <col min="11269" max="11269" width="15.875" style="38" customWidth="1"/>
    <col min="11270" max="11270" width="10.375" style="38" customWidth="1"/>
    <col min="11271" max="11271" width="32.125" style="38" customWidth="1"/>
    <col min="11272" max="11272" width="13.625" style="38" customWidth="1"/>
    <col min="11273" max="11273" width="7.125" style="38" customWidth="1"/>
    <col min="11274" max="11274" width="4.375" style="38" customWidth="1"/>
    <col min="11275" max="11277" width="9.375" style="38" customWidth="1"/>
    <col min="11278" max="11520" width="8" style="38"/>
    <col min="11521" max="11521" width="1" style="38" customWidth="1"/>
    <col min="11522" max="11522" width="16.25" style="38" customWidth="1"/>
    <col min="11523" max="11523" width="18.625" style="38" customWidth="1"/>
    <col min="11524" max="11524" width="6" style="38" customWidth="1"/>
    <col min="11525" max="11525" width="15.875" style="38" customWidth="1"/>
    <col min="11526" max="11526" width="10.375" style="38" customWidth="1"/>
    <col min="11527" max="11527" width="32.125" style="38" customWidth="1"/>
    <col min="11528" max="11528" width="13.625" style="38" customWidth="1"/>
    <col min="11529" max="11529" width="7.125" style="38" customWidth="1"/>
    <col min="11530" max="11530" width="4.375" style="38" customWidth="1"/>
    <col min="11531" max="11533" width="9.375" style="38" customWidth="1"/>
    <col min="11534" max="11776" width="8" style="38"/>
    <col min="11777" max="11777" width="1" style="38" customWidth="1"/>
    <col min="11778" max="11778" width="16.25" style="38" customWidth="1"/>
    <col min="11779" max="11779" width="18.625" style="38" customWidth="1"/>
    <col min="11780" max="11780" width="6" style="38" customWidth="1"/>
    <col min="11781" max="11781" width="15.875" style="38" customWidth="1"/>
    <col min="11782" max="11782" width="10.375" style="38" customWidth="1"/>
    <col min="11783" max="11783" width="32.125" style="38" customWidth="1"/>
    <col min="11784" max="11784" width="13.625" style="38" customWidth="1"/>
    <col min="11785" max="11785" width="7.125" style="38" customWidth="1"/>
    <col min="11786" max="11786" width="4.375" style="38" customWidth="1"/>
    <col min="11787" max="11789" width="9.375" style="38" customWidth="1"/>
    <col min="11790" max="12032" width="8" style="38"/>
    <col min="12033" max="12033" width="1" style="38" customWidth="1"/>
    <col min="12034" max="12034" width="16.25" style="38" customWidth="1"/>
    <col min="12035" max="12035" width="18.625" style="38" customWidth="1"/>
    <col min="12036" max="12036" width="6" style="38" customWidth="1"/>
    <col min="12037" max="12037" width="15.875" style="38" customWidth="1"/>
    <col min="12038" max="12038" width="10.375" style="38" customWidth="1"/>
    <col min="12039" max="12039" width="32.125" style="38" customWidth="1"/>
    <col min="12040" max="12040" width="13.625" style="38" customWidth="1"/>
    <col min="12041" max="12041" width="7.125" style="38" customWidth="1"/>
    <col min="12042" max="12042" width="4.375" style="38" customWidth="1"/>
    <col min="12043" max="12045" width="9.375" style="38" customWidth="1"/>
    <col min="12046" max="12288" width="9" style="38"/>
    <col min="12289" max="12289" width="1" style="38" customWidth="1"/>
    <col min="12290" max="12290" width="16.25" style="38" customWidth="1"/>
    <col min="12291" max="12291" width="18.625" style="38" customWidth="1"/>
    <col min="12292" max="12292" width="6" style="38" customWidth="1"/>
    <col min="12293" max="12293" width="15.875" style="38" customWidth="1"/>
    <col min="12294" max="12294" width="10.375" style="38" customWidth="1"/>
    <col min="12295" max="12295" width="32.125" style="38" customWidth="1"/>
    <col min="12296" max="12296" width="13.625" style="38" customWidth="1"/>
    <col min="12297" max="12297" width="7.125" style="38" customWidth="1"/>
    <col min="12298" max="12298" width="4.375" style="38" customWidth="1"/>
    <col min="12299" max="12301" width="9.375" style="38" customWidth="1"/>
    <col min="12302" max="12544" width="8" style="38"/>
    <col min="12545" max="12545" width="1" style="38" customWidth="1"/>
    <col min="12546" max="12546" width="16.25" style="38" customWidth="1"/>
    <col min="12547" max="12547" width="18.625" style="38" customWidth="1"/>
    <col min="12548" max="12548" width="6" style="38" customWidth="1"/>
    <col min="12549" max="12549" width="15.875" style="38" customWidth="1"/>
    <col min="12550" max="12550" width="10.375" style="38" customWidth="1"/>
    <col min="12551" max="12551" width="32.125" style="38" customWidth="1"/>
    <col min="12552" max="12552" width="13.625" style="38" customWidth="1"/>
    <col min="12553" max="12553" width="7.125" style="38" customWidth="1"/>
    <col min="12554" max="12554" width="4.375" style="38" customWidth="1"/>
    <col min="12555" max="12557" width="9.375" style="38" customWidth="1"/>
    <col min="12558" max="12800" width="8" style="38"/>
    <col min="12801" max="12801" width="1" style="38" customWidth="1"/>
    <col min="12802" max="12802" width="16.25" style="38" customWidth="1"/>
    <col min="12803" max="12803" width="18.625" style="38" customWidth="1"/>
    <col min="12804" max="12804" width="6" style="38" customWidth="1"/>
    <col min="12805" max="12805" width="15.875" style="38" customWidth="1"/>
    <col min="12806" max="12806" width="10.375" style="38" customWidth="1"/>
    <col min="12807" max="12807" width="32.125" style="38" customWidth="1"/>
    <col min="12808" max="12808" width="13.625" style="38" customWidth="1"/>
    <col min="12809" max="12809" width="7.125" style="38" customWidth="1"/>
    <col min="12810" max="12810" width="4.375" style="38" customWidth="1"/>
    <col min="12811" max="12813" width="9.375" style="38" customWidth="1"/>
    <col min="12814" max="13056" width="8" style="38"/>
    <col min="13057" max="13057" width="1" style="38" customWidth="1"/>
    <col min="13058" max="13058" width="16.25" style="38" customWidth="1"/>
    <col min="13059" max="13059" width="18.625" style="38" customWidth="1"/>
    <col min="13060" max="13060" width="6" style="38" customWidth="1"/>
    <col min="13061" max="13061" width="15.875" style="38" customWidth="1"/>
    <col min="13062" max="13062" width="10.375" style="38" customWidth="1"/>
    <col min="13063" max="13063" width="32.125" style="38" customWidth="1"/>
    <col min="13064" max="13064" width="13.625" style="38" customWidth="1"/>
    <col min="13065" max="13065" width="7.125" style="38" customWidth="1"/>
    <col min="13066" max="13066" width="4.375" style="38" customWidth="1"/>
    <col min="13067" max="13069" width="9.375" style="38" customWidth="1"/>
    <col min="13070" max="13312" width="9" style="38"/>
    <col min="13313" max="13313" width="1" style="38" customWidth="1"/>
    <col min="13314" max="13314" width="16.25" style="38" customWidth="1"/>
    <col min="13315" max="13315" width="18.625" style="38" customWidth="1"/>
    <col min="13316" max="13316" width="6" style="38" customWidth="1"/>
    <col min="13317" max="13317" width="15.875" style="38" customWidth="1"/>
    <col min="13318" max="13318" width="10.375" style="38" customWidth="1"/>
    <col min="13319" max="13319" width="32.125" style="38" customWidth="1"/>
    <col min="13320" max="13320" width="13.625" style="38" customWidth="1"/>
    <col min="13321" max="13321" width="7.125" style="38" customWidth="1"/>
    <col min="13322" max="13322" width="4.375" style="38" customWidth="1"/>
    <col min="13323" max="13325" width="9.375" style="38" customWidth="1"/>
    <col min="13326" max="13568" width="8" style="38"/>
    <col min="13569" max="13569" width="1" style="38" customWidth="1"/>
    <col min="13570" max="13570" width="16.25" style="38" customWidth="1"/>
    <col min="13571" max="13571" width="18.625" style="38" customWidth="1"/>
    <col min="13572" max="13572" width="6" style="38" customWidth="1"/>
    <col min="13573" max="13573" width="15.875" style="38" customWidth="1"/>
    <col min="13574" max="13574" width="10.375" style="38" customWidth="1"/>
    <col min="13575" max="13575" width="32.125" style="38" customWidth="1"/>
    <col min="13576" max="13576" width="13.625" style="38" customWidth="1"/>
    <col min="13577" max="13577" width="7.125" style="38" customWidth="1"/>
    <col min="13578" max="13578" width="4.375" style="38" customWidth="1"/>
    <col min="13579" max="13581" width="9.375" style="38" customWidth="1"/>
    <col min="13582" max="13824" width="8" style="38"/>
    <col min="13825" max="13825" width="1" style="38" customWidth="1"/>
    <col min="13826" max="13826" width="16.25" style="38" customWidth="1"/>
    <col min="13827" max="13827" width="18.625" style="38" customWidth="1"/>
    <col min="13828" max="13828" width="6" style="38" customWidth="1"/>
    <col min="13829" max="13829" width="15.875" style="38" customWidth="1"/>
    <col min="13830" max="13830" width="10.375" style="38" customWidth="1"/>
    <col min="13831" max="13831" width="32.125" style="38" customWidth="1"/>
    <col min="13832" max="13832" width="13.625" style="38" customWidth="1"/>
    <col min="13833" max="13833" width="7.125" style="38" customWidth="1"/>
    <col min="13834" max="13834" width="4.375" style="38" customWidth="1"/>
    <col min="13835" max="13837" width="9.375" style="38" customWidth="1"/>
    <col min="13838" max="14080" width="8" style="38"/>
    <col min="14081" max="14081" width="1" style="38" customWidth="1"/>
    <col min="14082" max="14082" width="16.25" style="38" customWidth="1"/>
    <col min="14083" max="14083" width="18.625" style="38" customWidth="1"/>
    <col min="14084" max="14084" width="6" style="38" customWidth="1"/>
    <col min="14085" max="14085" width="15.875" style="38" customWidth="1"/>
    <col min="14086" max="14086" width="10.375" style="38" customWidth="1"/>
    <col min="14087" max="14087" width="32.125" style="38" customWidth="1"/>
    <col min="14088" max="14088" width="13.625" style="38" customWidth="1"/>
    <col min="14089" max="14089" width="7.125" style="38" customWidth="1"/>
    <col min="14090" max="14090" width="4.375" style="38" customWidth="1"/>
    <col min="14091" max="14093" width="9.375" style="38" customWidth="1"/>
    <col min="14094" max="14336" width="9" style="38"/>
    <col min="14337" max="14337" width="1" style="38" customWidth="1"/>
    <col min="14338" max="14338" width="16.25" style="38" customWidth="1"/>
    <col min="14339" max="14339" width="18.625" style="38" customWidth="1"/>
    <col min="14340" max="14340" width="6" style="38" customWidth="1"/>
    <col min="14341" max="14341" width="15.875" style="38" customWidth="1"/>
    <col min="14342" max="14342" width="10.375" style="38" customWidth="1"/>
    <col min="14343" max="14343" width="32.125" style="38" customWidth="1"/>
    <col min="14344" max="14344" width="13.625" style="38" customWidth="1"/>
    <col min="14345" max="14345" width="7.125" style="38" customWidth="1"/>
    <col min="14346" max="14346" width="4.375" style="38" customWidth="1"/>
    <col min="14347" max="14349" width="9.375" style="38" customWidth="1"/>
    <col min="14350" max="14592" width="8" style="38"/>
    <col min="14593" max="14593" width="1" style="38" customWidth="1"/>
    <col min="14594" max="14594" width="16.25" style="38" customWidth="1"/>
    <col min="14595" max="14595" width="18.625" style="38" customWidth="1"/>
    <col min="14596" max="14596" width="6" style="38" customWidth="1"/>
    <col min="14597" max="14597" width="15.875" style="38" customWidth="1"/>
    <col min="14598" max="14598" width="10.375" style="38" customWidth="1"/>
    <col min="14599" max="14599" width="32.125" style="38" customWidth="1"/>
    <col min="14600" max="14600" width="13.625" style="38" customWidth="1"/>
    <col min="14601" max="14601" width="7.125" style="38" customWidth="1"/>
    <col min="14602" max="14602" width="4.375" style="38" customWidth="1"/>
    <col min="14603" max="14605" width="9.375" style="38" customWidth="1"/>
    <col min="14606" max="14848" width="8" style="38"/>
    <col min="14849" max="14849" width="1" style="38" customWidth="1"/>
    <col min="14850" max="14850" width="16.25" style="38" customWidth="1"/>
    <col min="14851" max="14851" width="18.625" style="38" customWidth="1"/>
    <col min="14852" max="14852" width="6" style="38" customWidth="1"/>
    <col min="14853" max="14853" width="15.875" style="38" customWidth="1"/>
    <col min="14854" max="14854" width="10.375" style="38" customWidth="1"/>
    <col min="14855" max="14855" width="32.125" style="38" customWidth="1"/>
    <col min="14856" max="14856" width="13.625" style="38" customWidth="1"/>
    <col min="14857" max="14857" width="7.125" style="38" customWidth="1"/>
    <col min="14858" max="14858" width="4.375" style="38" customWidth="1"/>
    <col min="14859" max="14861" width="9.375" style="38" customWidth="1"/>
    <col min="14862" max="15104" width="8" style="38"/>
    <col min="15105" max="15105" width="1" style="38" customWidth="1"/>
    <col min="15106" max="15106" width="16.25" style="38" customWidth="1"/>
    <col min="15107" max="15107" width="18.625" style="38" customWidth="1"/>
    <col min="15108" max="15108" width="6" style="38" customWidth="1"/>
    <col min="15109" max="15109" width="15.875" style="38" customWidth="1"/>
    <col min="15110" max="15110" width="10.375" style="38" customWidth="1"/>
    <col min="15111" max="15111" width="32.125" style="38" customWidth="1"/>
    <col min="15112" max="15112" width="13.625" style="38" customWidth="1"/>
    <col min="15113" max="15113" width="7.125" style="38" customWidth="1"/>
    <col min="15114" max="15114" width="4.375" style="38" customWidth="1"/>
    <col min="15115" max="15117" width="9.375" style="38" customWidth="1"/>
    <col min="15118" max="15360" width="9" style="38"/>
    <col min="15361" max="15361" width="1" style="38" customWidth="1"/>
    <col min="15362" max="15362" width="16.25" style="38" customWidth="1"/>
    <col min="15363" max="15363" width="18.625" style="38" customWidth="1"/>
    <col min="15364" max="15364" width="6" style="38" customWidth="1"/>
    <col min="15365" max="15365" width="15.875" style="38" customWidth="1"/>
    <col min="15366" max="15366" width="10.375" style="38" customWidth="1"/>
    <col min="15367" max="15367" width="32.125" style="38" customWidth="1"/>
    <col min="15368" max="15368" width="13.625" style="38" customWidth="1"/>
    <col min="15369" max="15369" width="7.125" style="38" customWidth="1"/>
    <col min="15370" max="15370" width="4.375" style="38" customWidth="1"/>
    <col min="15371" max="15373" width="9.375" style="38" customWidth="1"/>
    <col min="15374" max="15616" width="8" style="38"/>
    <col min="15617" max="15617" width="1" style="38" customWidth="1"/>
    <col min="15618" max="15618" width="16.25" style="38" customWidth="1"/>
    <col min="15619" max="15619" width="18.625" style="38" customWidth="1"/>
    <col min="15620" max="15620" width="6" style="38" customWidth="1"/>
    <col min="15621" max="15621" width="15.875" style="38" customWidth="1"/>
    <col min="15622" max="15622" width="10.375" style="38" customWidth="1"/>
    <col min="15623" max="15623" width="32.125" style="38" customWidth="1"/>
    <col min="15624" max="15624" width="13.625" style="38" customWidth="1"/>
    <col min="15625" max="15625" width="7.125" style="38" customWidth="1"/>
    <col min="15626" max="15626" width="4.375" style="38" customWidth="1"/>
    <col min="15627" max="15629" width="9.375" style="38" customWidth="1"/>
    <col min="15630" max="15872" width="8" style="38"/>
    <col min="15873" max="15873" width="1" style="38" customWidth="1"/>
    <col min="15874" max="15874" width="16.25" style="38" customWidth="1"/>
    <col min="15875" max="15875" width="18.625" style="38" customWidth="1"/>
    <col min="15876" max="15876" width="6" style="38" customWidth="1"/>
    <col min="15877" max="15877" width="15.875" style="38" customWidth="1"/>
    <col min="15878" max="15878" width="10.375" style="38" customWidth="1"/>
    <col min="15879" max="15879" width="32.125" style="38" customWidth="1"/>
    <col min="15880" max="15880" width="13.625" style="38" customWidth="1"/>
    <col min="15881" max="15881" width="7.125" style="38" customWidth="1"/>
    <col min="15882" max="15882" width="4.375" style="38" customWidth="1"/>
    <col min="15883" max="15885" width="9.375" style="38" customWidth="1"/>
    <col min="15886" max="16128" width="8" style="38"/>
    <col min="16129" max="16129" width="1" style="38" customWidth="1"/>
    <col min="16130" max="16130" width="16.25" style="38" customWidth="1"/>
    <col min="16131" max="16131" width="18.625" style="38" customWidth="1"/>
    <col min="16132" max="16132" width="6" style="38" customWidth="1"/>
    <col min="16133" max="16133" width="15.875" style="38" customWidth="1"/>
    <col min="16134" max="16134" width="10.375" style="38" customWidth="1"/>
    <col min="16135" max="16135" width="32.125" style="38" customWidth="1"/>
    <col min="16136" max="16136" width="13.625" style="38" customWidth="1"/>
    <col min="16137" max="16137" width="7.125" style="38" customWidth="1"/>
    <col min="16138" max="16138" width="4.375" style="38" customWidth="1"/>
    <col min="16139" max="16141" width="9.375" style="38" customWidth="1"/>
    <col min="16142" max="16384" width="9" style="38"/>
  </cols>
  <sheetData>
    <row r="1" spans="1:15" ht="52.5" customHeight="1" x14ac:dyDescent="0.25">
      <c r="H1" s="353" t="s">
        <v>197</v>
      </c>
      <c r="L1" s="354" t="s">
        <v>193</v>
      </c>
    </row>
    <row r="2" spans="1:15" ht="42.75" customHeight="1" x14ac:dyDescent="0.25">
      <c r="C2" s="42" t="s">
        <v>7</v>
      </c>
      <c r="D2" s="411" t="str">
        <f>'0.Claimant Home Page'!F4</f>
        <v>Municipality of Gold Standard</v>
      </c>
      <c r="E2" s="411"/>
      <c r="F2" s="411"/>
      <c r="G2" s="32"/>
      <c r="H2" s="61"/>
      <c r="I2" s="61"/>
      <c r="J2" s="61"/>
      <c r="K2" s="36"/>
      <c r="L2" s="36"/>
      <c r="M2" s="37"/>
    </row>
    <row r="3" spans="1:15" ht="23.25" customHeight="1" x14ac:dyDescent="0.25">
      <c r="C3" s="42"/>
      <c r="D3" s="77"/>
      <c r="E3" s="77"/>
      <c r="F3" s="77"/>
      <c r="G3" s="32"/>
      <c r="H3" s="61"/>
      <c r="I3" s="61"/>
      <c r="J3" s="61"/>
      <c r="K3" s="36"/>
      <c r="L3" s="36"/>
      <c r="M3" s="37"/>
    </row>
    <row r="4" spans="1:15" ht="60" customHeight="1" thickBot="1" x14ac:dyDescent="0.3">
      <c r="C4" s="80" t="s">
        <v>56</v>
      </c>
      <c r="D4" s="433" t="s">
        <v>187</v>
      </c>
      <c r="E4" s="433"/>
      <c r="F4" s="433"/>
      <c r="G4" s="433"/>
      <c r="H4" s="433"/>
      <c r="I4" s="433"/>
      <c r="J4" s="433"/>
      <c r="K4" s="433"/>
      <c r="L4" s="433"/>
      <c r="M4" s="433"/>
    </row>
    <row r="5" spans="1:15" ht="32.25" customHeight="1" x14ac:dyDescent="0.2">
      <c r="C5" s="70"/>
      <c r="H5" s="424" t="s">
        <v>140</v>
      </c>
      <c r="I5" s="425"/>
      <c r="J5" s="425"/>
      <c r="K5" s="430"/>
      <c r="L5" s="431"/>
    </row>
    <row r="6" spans="1:15" ht="3.75" customHeight="1" x14ac:dyDescent="0.2">
      <c r="C6" s="64"/>
      <c r="D6" s="46"/>
      <c r="E6" s="46"/>
      <c r="F6" s="46"/>
      <c r="G6" s="46"/>
      <c r="H6" s="427"/>
      <c r="I6" s="428"/>
      <c r="J6" s="428"/>
      <c r="K6" s="432"/>
      <c r="L6" s="431"/>
    </row>
    <row r="7" spans="1:15" ht="56.25" customHeight="1" x14ac:dyDescent="0.25">
      <c r="C7" s="242" t="s">
        <v>135</v>
      </c>
      <c r="D7" s="214" t="s">
        <v>136</v>
      </c>
      <c r="E7" s="84" t="s">
        <v>142</v>
      </c>
      <c r="F7" s="84" t="s">
        <v>44</v>
      </c>
      <c r="G7" s="87" t="s">
        <v>43</v>
      </c>
      <c r="H7" s="102" t="s">
        <v>12</v>
      </c>
      <c r="I7" s="84" t="s">
        <v>98</v>
      </c>
      <c r="J7" s="103" t="s">
        <v>89</v>
      </c>
      <c r="K7" s="104" t="s">
        <v>39</v>
      </c>
      <c r="L7" s="105" t="s">
        <v>28</v>
      </c>
      <c r="O7" s="38"/>
    </row>
    <row r="8" spans="1:15" ht="74.25" customHeight="1" x14ac:dyDescent="0.25">
      <c r="B8" s="361" t="s">
        <v>97</v>
      </c>
      <c r="C8" s="282">
        <v>43586</v>
      </c>
      <c r="D8" s="282">
        <v>43599</v>
      </c>
      <c r="E8" s="284" t="s">
        <v>163</v>
      </c>
      <c r="F8" s="244" t="s">
        <v>120</v>
      </c>
      <c r="G8" s="244" t="s">
        <v>156</v>
      </c>
      <c r="H8" s="258">
        <v>24</v>
      </c>
      <c r="I8" s="247">
        <v>118</v>
      </c>
      <c r="J8" s="159">
        <f>Table35222[[#This Row],[Hours Used]]*Table35222[[#This Row],[OPSS 127 Rental Rate]]*0.4</f>
        <v>1132.8</v>
      </c>
      <c r="K8" s="285">
        <v>632</v>
      </c>
      <c r="L8" s="286">
        <v>1132</v>
      </c>
      <c r="O8" s="38"/>
    </row>
    <row r="9" spans="1:15" ht="51" customHeight="1" x14ac:dyDescent="0.2">
      <c r="B9" s="278"/>
      <c r="C9" s="282">
        <v>43458</v>
      </c>
      <c r="D9" s="282">
        <v>43465</v>
      </c>
      <c r="E9" s="185" t="s">
        <v>146</v>
      </c>
      <c r="F9" s="251" t="s">
        <v>121</v>
      </c>
      <c r="G9" s="252" t="s">
        <v>155</v>
      </c>
      <c r="H9" s="259">
        <v>88</v>
      </c>
      <c r="I9" s="254">
        <v>169.8</v>
      </c>
      <c r="J9" s="255">
        <f>Table35222[[#This Row],[Hours Used]]*Table35222[[#This Row],[OPSS 127 Rental Rate]]*0.4</f>
        <v>5976.9600000000009</v>
      </c>
      <c r="K9" s="256">
        <v>705</v>
      </c>
      <c r="L9" s="257">
        <v>4160.24</v>
      </c>
      <c r="O9" s="38"/>
    </row>
    <row r="10" spans="1:15" ht="27" hidden="1" thickBot="1" x14ac:dyDescent="0.3">
      <c r="C10" s="206" t="s">
        <v>62</v>
      </c>
      <c r="D10" s="206" t="s">
        <v>19</v>
      </c>
      <c r="E10" s="207" t="s">
        <v>0</v>
      </c>
      <c r="F10" s="175" t="s">
        <v>1</v>
      </c>
      <c r="G10" s="208" t="s">
        <v>2</v>
      </c>
      <c r="H10" s="152" t="s">
        <v>12</v>
      </c>
      <c r="I10" s="27" t="s">
        <v>13</v>
      </c>
      <c r="J10" s="153" t="s">
        <v>86</v>
      </c>
      <c r="K10" s="221" t="s">
        <v>18</v>
      </c>
      <c r="L10" s="222" t="s">
        <v>28</v>
      </c>
      <c r="O10" s="38"/>
    </row>
    <row r="11" spans="1:15" x14ac:dyDescent="0.2">
      <c r="A11" s="262"/>
      <c r="B11" s="260"/>
      <c r="C11" s="157">
        <v>43094</v>
      </c>
      <c r="D11" s="158">
        <v>43095</v>
      </c>
      <c r="E11" s="91" t="s">
        <v>206</v>
      </c>
      <c r="F11" s="212" t="s">
        <v>214</v>
      </c>
      <c r="G11" s="201" t="s">
        <v>215</v>
      </c>
      <c r="H11" s="220">
        <v>20</v>
      </c>
      <c r="I11" s="217">
        <v>20</v>
      </c>
      <c r="J11" s="218">
        <f>EquipCC[[#This Row],[Hours Used]]*EquipCC[[#This Row],[Claimant''s Rate]]*0.4</f>
        <v>160</v>
      </c>
      <c r="K11" s="352" t="s">
        <v>217</v>
      </c>
      <c r="L11" s="179">
        <f>SUM(EquipCC[[#This Row],[Column2]])</f>
        <v>160</v>
      </c>
      <c r="O11" s="38"/>
    </row>
    <row r="12" spans="1:15" ht="13.15" x14ac:dyDescent="0.25">
      <c r="A12" s="262"/>
      <c r="B12" s="260"/>
      <c r="C12" s="240"/>
      <c r="D12" s="240"/>
      <c r="E12" s="212"/>
      <c r="F12" s="212"/>
      <c r="G12" s="201"/>
      <c r="H12" s="220"/>
      <c r="I12" s="217"/>
      <c r="J12" s="218">
        <f>EquipCC[[#This Row],[Hours Used]]*EquipCC[[#This Row],[Claimant''s Rate]]*0.4</f>
        <v>0</v>
      </c>
      <c r="K12" s="352"/>
      <c r="L12" s="179">
        <f>SUM(EquipCC[[#This Row],[Column2]])</f>
        <v>0</v>
      </c>
      <c r="O12" s="38"/>
    </row>
    <row r="13" spans="1:15" ht="13.15" x14ac:dyDescent="0.25">
      <c r="A13" s="262"/>
      <c r="B13" s="260"/>
      <c r="C13" s="240"/>
      <c r="D13" s="240"/>
      <c r="E13" s="212"/>
      <c r="F13" s="212"/>
      <c r="G13" s="201"/>
      <c r="H13" s="220"/>
      <c r="I13" s="217"/>
      <c r="J13" s="218">
        <f>EquipCC[[#This Row],[Hours Used]]*EquipCC[[#This Row],[Claimant''s Rate]]*0.4</f>
        <v>0</v>
      </c>
      <c r="K13" s="352"/>
      <c r="L13" s="179">
        <f>SUM(EquipCC[[#This Row],[Column2]])</f>
        <v>0</v>
      </c>
      <c r="O13" s="38"/>
    </row>
    <row r="14" spans="1:15" ht="13.15" x14ac:dyDescent="0.25">
      <c r="B14" s="260"/>
      <c r="C14" s="240"/>
      <c r="D14" s="240"/>
      <c r="E14" s="212"/>
      <c r="F14" s="212"/>
      <c r="G14" s="201"/>
      <c r="H14" s="220"/>
      <c r="I14" s="217"/>
      <c r="J14" s="218">
        <f>EquipCC[[#This Row],[Hours Used]]*EquipCC[[#This Row],[Claimant''s Rate]]*0.4</f>
        <v>0</v>
      </c>
      <c r="K14" s="352"/>
      <c r="L14" s="179">
        <f>SUM(EquipCC[[#This Row],[Column2]])</f>
        <v>0</v>
      </c>
      <c r="O14" s="38"/>
    </row>
    <row r="15" spans="1:15" ht="13.15" x14ac:dyDescent="0.25">
      <c r="B15" s="260"/>
      <c r="C15" s="240"/>
      <c r="D15" s="240"/>
      <c r="E15" s="212"/>
      <c r="F15" s="212"/>
      <c r="G15" s="201"/>
      <c r="H15" s="220"/>
      <c r="I15" s="217"/>
      <c r="J15" s="218">
        <f>EquipCC[[#This Row],[Hours Used]]*EquipCC[[#This Row],[Claimant''s Rate]]*0.4</f>
        <v>0</v>
      </c>
      <c r="K15" s="352"/>
      <c r="L15" s="179">
        <f>SUM(EquipCC[[#This Row],[Column2]])</f>
        <v>0</v>
      </c>
      <c r="O15" s="38"/>
    </row>
    <row r="16" spans="1:15" ht="13.15" x14ac:dyDescent="0.25">
      <c r="B16" s="260"/>
      <c r="C16" s="240"/>
      <c r="D16" s="240"/>
      <c r="E16" s="212"/>
      <c r="F16" s="212"/>
      <c r="G16" s="201"/>
      <c r="H16" s="220"/>
      <c r="I16" s="217"/>
      <c r="J16" s="218">
        <f>EquipCC[[#This Row],[Hours Used]]*EquipCC[[#This Row],[Claimant''s Rate]]*0.4</f>
        <v>0</v>
      </c>
      <c r="K16" s="352"/>
      <c r="L16" s="179">
        <f>SUM(EquipCC[[#This Row],[Column2]])</f>
        <v>0</v>
      </c>
      <c r="M16" s="44"/>
      <c r="O16" s="38"/>
    </row>
    <row r="17" spans="2:15" ht="13.15" x14ac:dyDescent="0.25">
      <c r="B17" s="260"/>
      <c r="C17" s="261"/>
      <c r="D17" s="240"/>
      <c r="E17" s="212"/>
      <c r="F17" s="212"/>
      <c r="G17" s="201"/>
      <c r="H17" s="220"/>
      <c r="I17" s="217"/>
      <c r="J17" s="218">
        <f>EquipCC[[#This Row],[Hours Used]]*EquipCC[[#This Row],[Claimant''s Rate]]*0.4</f>
        <v>0</v>
      </c>
      <c r="K17" s="352"/>
      <c r="L17" s="179">
        <f>SUM(EquipCC[[#This Row],[Column2]])</f>
        <v>0</v>
      </c>
      <c r="M17" s="44"/>
      <c r="O17" s="38"/>
    </row>
    <row r="18" spans="2:15" ht="13.15" x14ac:dyDescent="0.25">
      <c r="B18" s="260"/>
      <c r="C18" s="261"/>
      <c r="D18" s="240"/>
      <c r="E18" s="212"/>
      <c r="F18" s="212"/>
      <c r="G18" s="201"/>
      <c r="H18" s="220"/>
      <c r="I18" s="217"/>
      <c r="J18" s="218">
        <f>EquipCC[[#This Row],[Hours Used]]*EquipCC[[#This Row],[Claimant''s Rate]]*0.4</f>
        <v>0</v>
      </c>
      <c r="K18" s="352"/>
      <c r="L18" s="179">
        <f>SUM(EquipCC[[#This Row],[Column2]])</f>
        <v>0</v>
      </c>
      <c r="M18" s="44"/>
      <c r="O18" s="38"/>
    </row>
    <row r="19" spans="2:15" ht="13.15" x14ac:dyDescent="0.25">
      <c r="B19" s="260"/>
      <c r="C19" s="261"/>
      <c r="D19" s="240"/>
      <c r="E19" s="212"/>
      <c r="F19" s="212"/>
      <c r="G19" s="201"/>
      <c r="H19" s="220"/>
      <c r="I19" s="217"/>
      <c r="J19" s="218">
        <f>EquipCC[[#This Row],[Hours Used]]*EquipCC[[#This Row],[Claimant''s Rate]]*0.4</f>
        <v>0</v>
      </c>
      <c r="K19" s="352"/>
      <c r="L19" s="179">
        <f>SUM(EquipCC[[#This Row],[Column2]])</f>
        <v>0</v>
      </c>
      <c r="M19" s="44"/>
      <c r="O19" s="38"/>
    </row>
    <row r="20" spans="2:15" ht="13.15" x14ac:dyDescent="0.25">
      <c r="B20" s="260"/>
      <c r="C20" s="261"/>
      <c r="D20" s="240"/>
      <c r="E20" s="212"/>
      <c r="F20" s="212"/>
      <c r="G20" s="212"/>
      <c r="H20" s="220"/>
      <c r="I20" s="217"/>
      <c r="J20" s="219">
        <f>EquipCC[[#This Row],[Hours Used]]*EquipCC[[#This Row],[Claimant''s Rate]]*0.4</f>
        <v>0</v>
      </c>
      <c r="K20" s="350"/>
      <c r="L20" s="179">
        <f>SUM(EquipCC[[#This Row],[Column2]])</f>
        <v>0</v>
      </c>
      <c r="M20" s="44"/>
      <c r="O20" s="38"/>
    </row>
    <row r="21" spans="2:15" ht="13.9" x14ac:dyDescent="0.25">
      <c r="B21" s="260"/>
      <c r="C21" s="261"/>
      <c r="D21" s="240"/>
      <c r="E21" s="212"/>
      <c r="F21" s="212"/>
      <c r="G21" s="212"/>
      <c r="H21" s="220"/>
      <c r="I21" s="217"/>
      <c r="J21" s="219">
        <f>EquipCC[[#This Row],[Hours Used]]*EquipCC[[#This Row],[Claimant''s Rate]]*0.4</f>
        <v>0</v>
      </c>
      <c r="K21" s="350"/>
      <c r="L21" s="179">
        <f>SUM(EquipCC[[#This Row],[Column2]])</f>
        <v>0</v>
      </c>
      <c r="M21" s="124"/>
      <c r="N21" s="125"/>
    </row>
    <row r="22" spans="2:15" ht="13.15" x14ac:dyDescent="0.25">
      <c r="C22" s="261"/>
      <c r="D22" s="240"/>
      <c r="E22" s="212"/>
      <c r="F22" s="212"/>
      <c r="G22" s="212"/>
      <c r="H22" s="220"/>
      <c r="I22" s="217"/>
      <c r="J22" s="219">
        <f>EquipCC[[#This Row],[Hours Used]]*EquipCC[[#This Row],[Claimant''s Rate]]*0.4</f>
        <v>0</v>
      </c>
      <c r="K22" s="350"/>
      <c r="L22" s="179">
        <f>SUM(EquipCC[[#This Row],[Column2]])</f>
        <v>0</v>
      </c>
    </row>
    <row r="23" spans="2:15" ht="13.15" x14ac:dyDescent="0.25">
      <c r="C23" s="261"/>
      <c r="D23" s="240"/>
      <c r="E23" s="212"/>
      <c r="F23" s="212"/>
      <c r="G23" s="212"/>
      <c r="H23" s="220"/>
      <c r="I23" s="217"/>
      <c r="J23" s="219">
        <f>EquipCC[[#This Row],[Hours Used]]*EquipCC[[#This Row],[Claimant''s Rate]]*0.4</f>
        <v>0</v>
      </c>
      <c r="K23" s="350"/>
      <c r="L23" s="179">
        <f>SUM(EquipCC[[#This Row],[Column2]])</f>
        <v>0</v>
      </c>
    </row>
    <row r="24" spans="2:15" ht="13.15" x14ac:dyDescent="0.25">
      <c r="C24" s="261"/>
      <c r="D24" s="240"/>
      <c r="E24" s="212"/>
      <c r="F24" s="212"/>
      <c r="G24" s="212"/>
      <c r="H24" s="220"/>
      <c r="I24" s="217"/>
      <c r="J24" s="219">
        <f>EquipCC[[#This Row],[Hours Used]]*EquipCC[[#This Row],[Claimant''s Rate]]*0.4</f>
        <v>0</v>
      </c>
      <c r="K24" s="350"/>
      <c r="L24" s="179">
        <f>SUM(EquipCC[[#This Row],[Column2]])</f>
        <v>0</v>
      </c>
    </row>
    <row r="25" spans="2:15" ht="14.45" thickBot="1" x14ac:dyDescent="0.3">
      <c r="C25" s="39"/>
      <c r="D25" s="40"/>
      <c r="E25" s="40"/>
      <c r="F25" s="40"/>
      <c r="G25" s="40"/>
      <c r="H25" s="47"/>
      <c r="I25" s="48"/>
      <c r="J25" s="210"/>
      <c r="K25" s="123" t="s">
        <v>63</v>
      </c>
      <c r="L25" s="223">
        <f>SUM(EquipCC[Total Costs])</f>
        <v>160</v>
      </c>
    </row>
    <row r="26" spans="2:15" ht="14.25" x14ac:dyDescent="0.2">
      <c r="J26" s="124"/>
      <c r="K26" s="124"/>
      <c r="L26" s="124"/>
    </row>
  </sheetData>
  <sheetProtection selectLockedCells="1"/>
  <mergeCells count="4">
    <mergeCell ref="H5:J6"/>
    <mergeCell ref="D2:F2"/>
    <mergeCell ref="K5:L6"/>
    <mergeCell ref="D4:M4"/>
  </mergeCells>
  <conditionalFormatting sqref="K11:K24">
    <cfRule type="expression" dxfId="60" priority="1" stopIfTrue="1">
      <formula>$L11=0</formula>
    </cfRule>
    <cfRule type="expression" dxfId="59" priority="2">
      <formula>$K11=0</formula>
    </cfRule>
  </conditionalFormatting>
  <dataValidations count="2">
    <dataValidation type="date" allowBlank="1" showErrorMessage="1" errorTitle="Error" error="Please enter a valid date in the format YYYY/MM/DD" promptTitle="Date Format" prompt="Enter dates as YYYY/MM/DD" sqref="C12:D24">
      <formula1>41640</formula1>
      <formula2>73415</formula2>
    </dataValidation>
    <dataValidation type="date" allowBlank="1" showErrorMessage="1" errorTitle="Error" error="Please enter a valid date in the format YYYY/MM/DD" sqref="C11:D11">
      <formula1>41640</formula1>
      <formula2>73415</formula2>
    </dataValidation>
  </dataValidations>
  <pageMargins left="0.25" right="0.25" top="0.51432291666666663" bottom="0.75" header="0.3" footer="0.3"/>
  <pageSetup paperSize="5" scale="79" fitToHeight="0" orientation="landscape" horizontalDpi="300" verticalDpi="300" r:id="rId1"/>
  <headerFooter>
    <oddHeader>&amp;L&amp;G&amp;C&amp;"Arial,Bold"&amp;18&amp;K000000Claimant-Owned Equipment Capital Costs&amp;R&amp;"Arial,Bold"&amp;12&amp;K000000Municipal Disaster Recovery Assistance Program</oddHeader>
    <oddFooter>&amp;RPage &amp;P of &amp;N</oddFooter>
  </headerFooter>
  <ignoredErrors>
    <ignoredError sqref="L9" calculatedColumn="1"/>
  </ignoredErrors>
  <drawing r:id="rId2"/>
  <legacyDrawingHF r:id="rId3"/>
  <tableParts count="2"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K22"/>
  <sheetViews>
    <sheetView showGridLines="0" view="pageLayout" zoomScale="90" zoomScaleNormal="75" zoomScalePageLayoutView="90" workbookViewId="0">
      <selection activeCell="G8" sqref="G8"/>
    </sheetView>
  </sheetViews>
  <sheetFormatPr defaultRowHeight="12.75" x14ac:dyDescent="0.2"/>
  <cols>
    <col min="1" max="1" width="3.125" style="38" customWidth="1"/>
    <col min="2" max="2" width="15.375" style="38" customWidth="1"/>
    <col min="3" max="3" width="17.625" style="38" customWidth="1"/>
    <col min="4" max="4" width="54.25" style="38" customWidth="1"/>
    <col min="5" max="5" width="31.125" style="58" customWidth="1"/>
    <col min="6" max="6" width="19.375" style="55" customWidth="1"/>
    <col min="7" max="7" width="13.125" style="38" customWidth="1"/>
    <col min="8" max="8" width="12.25" style="38" hidden="1" customWidth="1"/>
    <col min="9" max="9" width="9" style="38" hidden="1" customWidth="1"/>
    <col min="10" max="10" width="11" style="38" hidden="1" customWidth="1"/>
    <col min="11" max="11" width="1.375" style="38" hidden="1" customWidth="1"/>
    <col min="12" max="12" width="9" style="38"/>
    <col min="13" max="250" width="8" style="38"/>
    <col min="251" max="251" width="1" style="38" customWidth="1"/>
    <col min="252" max="252" width="16.25" style="38" customWidth="1"/>
    <col min="253" max="253" width="18.625" style="38" customWidth="1"/>
    <col min="254" max="254" width="6" style="38" customWidth="1"/>
    <col min="255" max="255" width="15.875" style="38" customWidth="1"/>
    <col min="256" max="256" width="10.375" style="38" customWidth="1"/>
    <col min="257" max="257" width="32.125" style="38" customWidth="1"/>
    <col min="258" max="258" width="13.625" style="38" customWidth="1"/>
    <col min="259" max="259" width="7.125" style="38" customWidth="1"/>
    <col min="260" max="260" width="4.375" style="38" customWidth="1"/>
    <col min="261" max="263" width="9.375" style="38" customWidth="1"/>
    <col min="264" max="506" width="8" style="38"/>
    <col min="507" max="507" width="1" style="38" customWidth="1"/>
    <col min="508" max="508" width="16.25" style="38" customWidth="1"/>
    <col min="509" max="509" width="18.625" style="38" customWidth="1"/>
    <col min="510" max="510" width="6" style="38" customWidth="1"/>
    <col min="511" max="511" width="15.875" style="38" customWidth="1"/>
    <col min="512" max="512" width="10.375" style="38" customWidth="1"/>
    <col min="513" max="513" width="32.125" style="38" customWidth="1"/>
    <col min="514" max="514" width="13.625" style="38" customWidth="1"/>
    <col min="515" max="515" width="7.125" style="38" customWidth="1"/>
    <col min="516" max="516" width="4.375" style="38" customWidth="1"/>
    <col min="517" max="519" width="9.375" style="38" customWidth="1"/>
    <col min="520" max="762" width="8" style="38"/>
    <col min="763" max="763" width="1" style="38" customWidth="1"/>
    <col min="764" max="764" width="16.25" style="38" customWidth="1"/>
    <col min="765" max="765" width="18.625" style="38" customWidth="1"/>
    <col min="766" max="766" width="6" style="38" customWidth="1"/>
    <col min="767" max="767" width="15.875" style="38" customWidth="1"/>
    <col min="768" max="768" width="10.375" style="38" customWidth="1"/>
    <col min="769" max="769" width="32.125" style="38" customWidth="1"/>
    <col min="770" max="770" width="13.625" style="38" customWidth="1"/>
    <col min="771" max="771" width="7.125" style="38" customWidth="1"/>
    <col min="772" max="772" width="4.375" style="38" customWidth="1"/>
    <col min="773" max="775" width="9.375" style="38" customWidth="1"/>
    <col min="776" max="1018" width="8" style="38"/>
    <col min="1019" max="1019" width="1" style="38" customWidth="1"/>
    <col min="1020" max="1020" width="16.25" style="38" customWidth="1"/>
    <col min="1021" max="1021" width="18.625" style="38" customWidth="1"/>
    <col min="1022" max="1022" width="6" style="38" customWidth="1"/>
    <col min="1023" max="1023" width="15.875" style="38" customWidth="1"/>
    <col min="1024" max="1024" width="10.375" style="38" customWidth="1"/>
    <col min="1025" max="1025" width="32.125" style="38" customWidth="1"/>
    <col min="1026" max="1026" width="13.625" style="38" customWidth="1"/>
    <col min="1027" max="1027" width="7.125" style="38" customWidth="1"/>
    <col min="1028" max="1028" width="4.375" style="38" customWidth="1"/>
    <col min="1029" max="1031" width="9.375" style="38" customWidth="1"/>
    <col min="1032" max="1274" width="8" style="38"/>
    <col min="1275" max="1275" width="1" style="38" customWidth="1"/>
    <col min="1276" max="1276" width="16.25" style="38" customWidth="1"/>
    <col min="1277" max="1277" width="18.625" style="38" customWidth="1"/>
    <col min="1278" max="1278" width="6" style="38" customWidth="1"/>
    <col min="1279" max="1279" width="15.875" style="38" customWidth="1"/>
    <col min="1280" max="1280" width="10.375" style="38" customWidth="1"/>
    <col min="1281" max="1281" width="32.125" style="38" customWidth="1"/>
    <col min="1282" max="1282" width="13.625" style="38" customWidth="1"/>
    <col min="1283" max="1283" width="7.125" style="38" customWidth="1"/>
    <col min="1284" max="1284" width="4.375" style="38" customWidth="1"/>
    <col min="1285" max="1287" width="9.375" style="38" customWidth="1"/>
    <col min="1288" max="1530" width="8" style="38"/>
    <col min="1531" max="1531" width="1" style="38" customWidth="1"/>
    <col min="1532" max="1532" width="16.25" style="38" customWidth="1"/>
    <col min="1533" max="1533" width="18.625" style="38" customWidth="1"/>
    <col min="1534" max="1534" width="6" style="38" customWidth="1"/>
    <col min="1535" max="1535" width="15.875" style="38" customWidth="1"/>
    <col min="1536" max="1536" width="10.375" style="38" customWidth="1"/>
    <col min="1537" max="1537" width="32.125" style="38" customWidth="1"/>
    <col min="1538" max="1538" width="13.625" style="38" customWidth="1"/>
    <col min="1539" max="1539" width="7.125" style="38" customWidth="1"/>
    <col min="1540" max="1540" width="4.375" style="38" customWidth="1"/>
    <col min="1541" max="1543" width="9.375" style="38" customWidth="1"/>
    <col min="1544" max="1786" width="8" style="38"/>
    <col min="1787" max="1787" width="1" style="38" customWidth="1"/>
    <col min="1788" max="1788" width="16.25" style="38" customWidth="1"/>
    <col min="1789" max="1789" width="18.625" style="38" customWidth="1"/>
    <col min="1790" max="1790" width="6" style="38" customWidth="1"/>
    <col min="1791" max="1791" width="15.875" style="38" customWidth="1"/>
    <col min="1792" max="1792" width="10.375" style="38" customWidth="1"/>
    <col min="1793" max="1793" width="32.125" style="38" customWidth="1"/>
    <col min="1794" max="1794" width="13.625" style="38" customWidth="1"/>
    <col min="1795" max="1795" width="7.125" style="38" customWidth="1"/>
    <col min="1796" max="1796" width="4.375" style="38" customWidth="1"/>
    <col min="1797" max="1799" width="9.375" style="38" customWidth="1"/>
    <col min="1800" max="2042" width="8" style="38"/>
    <col min="2043" max="2043" width="1" style="38" customWidth="1"/>
    <col min="2044" max="2044" width="16.25" style="38" customWidth="1"/>
    <col min="2045" max="2045" width="18.625" style="38" customWidth="1"/>
    <col min="2046" max="2046" width="6" style="38" customWidth="1"/>
    <col min="2047" max="2047" width="15.875" style="38" customWidth="1"/>
    <col min="2048" max="2048" width="10.375" style="38" customWidth="1"/>
    <col min="2049" max="2049" width="32.125" style="38" customWidth="1"/>
    <col min="2050" max="2050" width="13.625" style="38" customWidth="1"/>
    <col min="2051" max="2051" width="7.125" style="38" customWidth="1"/>
    <col min="2052" max="2052" width="4.375" style="38" customWidth="1"/>
    <col min="2053" max="2055" width="9.375" style="38" customWidth="1"/>
    <col min="2056" max="2298" width="8" style="38"/>
    <col min="2299" max="2299" width="1" style="38" customWidth="1"/>
    <col min="2300" max="2300" width="16.25" style="38" customWidth="1"/>
    <col min="2301" max="2301" width="18.625" style="38" customWidth="1"/>
    <col min="2302" max="2302" width="6" style="38" customWidth="1"/>
    <col min="2303" max="2303" width="15.875" style="38" customWidth="1"/>
    <col min="2304" max="2304" width="10.375" style="38" customWidth="1"/>
    <col min="2305" max="2305" width="32.125" style="38" customWidth="1"/>
    <col min="2306" max="2306" width="13.625" style="38" customWidth="1"/>
    <col min="2307" max="2307" width="7.125" style="38" customWidth="1"/>
    <col min="2308" max="2308" width="4.375" style="38" customWidth="1"/>
    <col min="2309" max="2311" width="9.375" style="38" customWidth="1"/>
    <col min="2312" max="2554" width="8" style="38"/>
    <col min="2555" max="2555" width="1" style="38" customWidth="1"/>
    <col min="2556" max="2556" width="16.25" style="38" customWidth="1"/>
    <col min="2557" max="2557" width="18.625" style="38" customWidth="1"/>
    <col min="2558" max="2558" width="6" style="38" customWidth="1"/>
    <col min="2559" max="2559" width="15.875" style="38" customWidth="1"/>
    <col min="2560" max="2560" width="10.375" style="38" customWidth="1"/>
    <col min="2561" max="2561" width="32.125" style="38" customWidth="1"/>
    <col min="2562" max="2562" width="13.625" style="38" customWidth="1"/>
    <col min="2563" max="2563" width="7.125" style="38" customWidth="1"/>
    <col min="2564" max="2564" width="4.375" style="38" customWidth="1"/>
    <col min="2565" max="2567" width="9.375" style="38" customWidth="1"/>
    <col min="2568" max="2810" width="8" style="38"/>
    <col min="2811" max="2811" width="1" style="38" customWidth="1"/>
    <col min="2812" max="2812" width="16.25" style="38" customWidth="1"/>
    <col min="2813" max="2813" width="18.625" style="38" customWidth="1"/>
    <col min="2814" max="2814" width="6" style="38" customWidth="1"/>
    <col min="2815" max="2815" width="15.875" style="38" customWidth="1"/>
    <col min="2816" max="2816" width="10.375" style="38" customWidth="1"/>
    <col min="2817" max="2817" width="32.125" style="38" customWidth="1"/>
    <col min="2818" max="2818" width="13.625" style="38" customWidth="1"/>
    <col min="2819" max="2819" width="7.125" style="38" customWidth="1"/>
    <col min="2820" max="2820" width="4.375" style="38" customWidth="1"/>
    <col min="2821" max="2823" width="9.375" style="38" customWidth="1"/>
    <col min="2824" max="3066" width="8" style="38"/>
    <col min="3067" max="3067" width="1" style="38" customWidth="1"/>
    <col min="3068" max="3068" width="16.25" style="38" customWidth="1"/>
    <col min="3069" max="3069" width="18.625" style="38" customWidth="1"/>
    <col min="3070" max="3070" width="6" style="38" customWidth="1"/>
    <col min="3071" max="3071" width="15.875" style="38" customWidth="1"/>
    <col min="3072" max="3072" width="10.375" style="38" customWidth="1"/>
    <col min="3073" max="3073" width="32.125" style="38" customWidth="1"/>
    <col min="3074" max="3074" width="13.625" style="38" customWidth="1"/>
    <col min="3075" max="3075" width="7.125" style="38" customWidth="1"/>
    <col min="3076" max="3076" width="4.375" style="38" customWidth="1"/>
    <col min="3077" max="3079" width="9.375" style="38" customWidth="1"/>
    <col min="3080" max="3322" width="8" style="38"/>
    <col min="3323" max="3323" width="1" style="38" customWidth="1"/>
    <col min="3324" max="3324" width="16.25" style="38" customWidth="1"/>
    <col min="3325" max="3325" width="18.625" style="38" customWidth="1"/>
    <col min="3326" max="3326" width="6" style="38" customWidth="1"/>
    <col min="3327" max="3327" width="15.875" style="38" customWidth="1"/>
    <col min="3328" max="3328" width="10.375" style="38" customWidth="1"/>
    <col min="3329" max="3329" width="32.125" style="38" customWidth="1"/>
    <col min="3330" max="3330" width="13.625" style="38" customWidth="1"/>
    <col min="3331" max="3331" width="7.125" style="38" customWidth="1"/>
    <col min="3332" max="3332" width="4.375" style="38" customWidth="1"/>
    <col min="3333" max="3335" width="9.375" style="38" customWidth="1"/>
    <col min="3336" max="3578" width="8" style="38"/>
    <col min="3579" max="3579" width="1" style="38" customWidth="1"/>
    <col min="3580" max="3580" width="16.25" style="38" customWidth="1"/>
    <col min="3581" max="3581" width="18.625" style="38" customWidth="1"/>
    <col min="3582" max="3582" width="6" style="38" customWidth="1"/>
    <col min="3583" max="3583" width="15.875" style="38" customWidth="1"/>
    <col min="3584" max="3584" width="10.375" style="38" customWidth="1"/>
    <col min="3585" max="3585" width="32.125" style="38" customWidth="1"/>
    <col min="3586" max="3586" width="13.625" style="38" customWidth="1"/>
    <col min="3587" max="3587" width="7.125" style="38" customWidth="1"/>
    <col min="3588" max="3588" width="4.375" style="38" customWidth="1"/>
    <col min="3589" max="3591" width="9.375" style="38" customWidth="1"/>
    <col min="3592" max="3834" width="8" style="38"/>
    <col min="3835" max="3835" width="1" style="38" customWidth="1"/>
    <col min="3836" max="3836" width="16.25" style="38" customWidth="1"/>
    <col min="3837" max="3837" width="18.625" style="38" customWidth="1"/>
    <col min="3838" max="3838" width="6" style="38" customWidth="1"/>
    <col min="3839" max="3839" width="15.875" style="38" customWidth="1"/>
    <col min="3840" max="3840" width="10.375" style="38" customWidth="1"/>
    <col min="3841" max="3841" width="32.125" style="38" customWidth="1"/>
    <col min="3842" max="3842" width="13.625" style="38" customWidth="1"/>
    <col min="3843" max="3843" width="7.125" style="38" customWidth="1"/>
    <col min="3844" max="3844" width="4.375" style="38" customWidth="1"/>
    <col min="3845" max="3847" width="9.375" style="38" customWidth="1"/>
    <col min="3848" max="4090" width="8" style="38"/>
    <col min="4091" max="4091" width="1" style="38" customWidth="1"/>
    <col min="4092" max="4092" width="16.25" style="38" customWidth="1"/>
    <col min="4093" max="4093" width="18.625" style="38" customWidth="1"/>
    <col min="4094" max="4094" width="6" style="38" customWidth="1"/>
    <col min="4095" max="4095" width="15.875" style="38" customWidth="1"/>
    <col min="4096" max="4096" width="10.375" style="38" customWidth="1"/>
    <col min="4097" max="4097" width="32.125" style="38" customWidth="1"/>
    <col min="4098" max="4098" width="13.625" style="38" customWidth="1"/>
    <col min="4099" max="4099" width="7.125" style="38" customWidth="1"/>
    <col min="4100" max="4100" width="4.375" style="38" customWidth="1"/>
    <col min="4101" max="4103" width="9.375" style="38" customWidth="1"/>
    <col min="4104" max="4346" width="8" style="38"/>
    <col min="4347" max="4347" width="1" style="38" customWidth="1"/>
    <col min="4348" max="4348" width="16.25" style="38" customWidth="1"/>
    <col min="4349" max="4349" width="18.625" style="38" customWidth="1"/>
    <col min="4350" max="4350" width="6" style="38" customWidth="1"/>
    <col min="4351" max="4351" width="15.875" style="38" customWidth="1"/>
    <col min="4352" max="4352" width="10.375" style="38" customWidth="1"/>
    <col min="4353" max="4353" width="32.125" style="38" customWidth="1"/>
    <col min="4354" max="4354" width="13.625" style="38" customWidth="1"/>
    <col min="4355" max="4355" width="7.125" style="38" customWidth="1"/>
    <col min="4356" max="4356" width="4.375" style="38" customWidth="1"/>
    <col min="4357" max="4359" width="9.375" style="38" customWidth="1"/>
    <col min="4360" max="4602" width="8" style="38"/>
    <col min="4603" max="4603" width="1" style="38" customWidth="1"/>
    <col min="4604" max="4604" width="16.25" style="38" customWidth="1"/>
    <col min="4605" max="4605" width="18.625" style="38" customWidth="1"/>
    <col min="4606" max="4606" width="6" style="38" customWidth="1"/>
    <col min="4607" max="4607" width="15.875" style="38" customWidth="1"/>
    <col min="4608" max="4608" width="10.375" style="38" customWidth="1"/>
    <col min="4609" max="4609" width="32.125" style="38" customWidth="1"/>
    <col min="4610" max="4610" width="13.625" style="38" customWidth="1"/>
    <col min="4611" max="4611" width="7.125" style="38" customWidth="1"/>
    <col min="4612" max="4612" width="4.375" style="38" customWidth="1"/>
    <col min="4613" max="4615" width="9.375" style="38" customWidth="1"/>
    <col min="4616" max="4858" width="8" style="38"/>
    <col min="4859" max="4859" width="1" style="38" customWidth="1"/>
    <col min="4860" max="4860" width="16.25" style="38" customWidth="1"/>
    <col min="4861" max="4861" width="18.625" style="38" customWidth="1"/>
    <col min="4862" max="4862" width="6" style="38" customWidth="1"/>
    <col min="4863" max="4863" width="15.875" style="38" customWidth="1"/>
    <col min="4864" max="4864" width="10.375" style="38" customWidth="1"/>
    <col min="4865" max="4865" width="32.125" style="38" customWidth="1"/>
    <col min="4866" max="4866" width="13.625" style="38" customWidth="1"/>
    <col min="4867" max="4867" width="7.125" style="38" customWidth="1"/>
    <col min="4868" max="4868" width="4.375" style="38" customWidth="1"/>
    <col min="4869" max="4871" width="9.375" style="38" customWidth="1"/>
    <col min="4872" max="5114" width="8" style="38"/>
    <col min="5115" max="5115" width="1" style="38" customWidth="1"/>
    <col min="5116" max="5116" width="16.25" style="38" customWidth="1"/>
    <col min="5117" max="5117" width="18.625" style="38" customWidth="1"/>
    <col min="5118" max="5118" width="6" style="38" customWidth="1"/>
    <col min="5119" max="5119" width="15.875" style="38" customWidth="1"/>
    <col min="5120" max="5120" width="10.375" style="38" customWidth="1"/>
    <col min="5121" max="5121" width="32.125" style="38" customWidth="1"/>
    <col min="5122" max="5122" width="13.625" style="38" customWidth="1"/>
    <col min="5123" max="5123" width="7.125" style="38" customWidth="1"/>
    <col min="5124" max="5124" width="4.375" style="38" customWidth="1"/>
    <col min="5125" max="5127" width="9.375" style="38" customWidth="1"/>
    <col min="5128" max="5370" width="8" style="38"/>
    <col min="5371" max="5371" width="1" style="38" customWidth="1"/>
    <col min="5372" max="5372" width="16.25" style="38" customWidth="1"/>
    <col min="5373" max="5373" width="18.625" style="38" customWidth="1"/>
    <col min="5374" max="5374" width="6" style="38" customWidth="1"/>
    <col min="5375" max="5375" width="15.875" style="38" customWidth="1"/>
    <col min="5376" max="5376" width="10.375" style="38" customWidth="1"/>
    <col min="5377" max="5377" width="32.125" style="38" customWidth="1"/>
    <col min="5378" max="5378" width="13.625" style="38" customWidth="1"/>
    <col min="5379" max="5379" width="7.125" style="38" customWidth="1"/>
    <col min="5380" max="5380" width="4.375" style="38" customWidth="1"/>
    <col min="5381" max="5383" width="9.375" style="38" customWidth="1"/>
    <col min="5384" max="5626" width="8" style="38"/>
    <col min="5627" max="5627" width="1" style="38" customWidth="1"/>
    <col min="5628" max="5628" width="16.25" style="38" customWidth="1"/>
    <col min="5629" max="5629" width="18.625" style="38" customWidth="1"/>
    <col min="5630" max="5630" width="6" style="38" customWidth="1"/>
    <col min="5631" max="5631" width="15.875" style="38" customWidth="1"/>
    <col min="5632" max="5632" width="10.375" style="38" customWidth="1"/>
    <col min="5633" max="5633" width="32.125" style="38" customWidth="1"/>
    <col min="5634" max="5634" width="13.625" style="38" customWidth="1"/>
    <col min="5635" max="5635" width="7.125" style="38" customWidth="1"/>
    <col min="5636" max="5636" width="4.375" style="38" customWidth="1"/>
    <col min="5637" max="5639" width="9.375" style="38" customWidth="1"/>
    <col min="5640" max="5882" width="8" style="38"/>
    <col min="5883" max="5883" width="1" style="38" customWidth="1"/>
    <col min="5884" max="5884" width="16.25" style="38" customWidth="1"/>
    <col min="5885" max="5885" width="18.625" style="38" customWidth="1"/>
    <col min="5886" max="5886" width="6" style="38" customWidth="1"/>
    <col min="5887" max="5887" width="15.875" style="38" customWidth="1"/>
    <col min="5888" max="5888" width="10.375" style="38" customWidth="1"/>
    <col min="5889" max="5889" width="32.125" style="38" customWidth="1"/>
    <col min="5890" max="5890" width="13.625" style="38" customWidth="1"/>
    <col min="5891" max="5891" width="7.125" style="38" customWidth="1"/>
    <col min="5892" max="5892" width="4.375" style="38" customWidth="1"/>
    <col min="5893" max="5895" width="9.375" style="38" customWidth="1"/>
    <col min="5896" max="6138" width="8" style="38"/>
    <col min="6139" max="6139" width="1" style="38" customWidth="1"/>
    <col min="6140" max="6140" width="16.25" style="38" customWidth="1"/>
    <col min="6141" max="6141" width="18.625" style="38" customWidth="1"/>
    <col min="6142" max="6142" width="6" style="38" customWidth="1"/>
    <col min="6143" max="6143" width="15.875" style="38" customWidth="1"/>
    <col min="6144" max="6144" width="10.375" style="38" customWidth="1"/>
    <col min="6145" max="6145" width="32.125" style="38" customWidth="1"/>
    <col min="6146" max="6146" width="13.625" style="38" customWidth="1"/>
    <col min="6147" max="6147" width="7.125" style="38" customWidth="1"/>
    <col min="6148" max="6148" width="4.375" style="38" customWidth="1"/>
    <col min="6149" max="6151" width="9.375" style="38" customWidth="1"/>
    <col min="6152" max="6394" width="8" style="38"/>
    <col min="6395" max="6395" width="1" style="38" customWidth="1"/>
    <col min="6396" max="6396" width="16.25" style="38" customWidth="1"/>
    <col min="6397" max="6397" width="18.625" style="38" customWidth="1"/>
    <col min="6398" max="6398" width="6" style="38" customWidth="1"/>
    <col min="6399" max="6399" width="15.875" style="38" customWidth="1"/>
    <col min="6400" max="6400" width="10.375" style="38" customWidth="1"/>
    <col min="6401" max="6401" width="32.125" style="38" customWidth="1"/>
    <col min="6402" max="6402" width="13.625" style="38" customWidth="1"/>
    <col min="6403" max="6403" width="7.125" style="38" customWidth="1"/>
    <col min="6404" max="6404" width="4.375" style="38" customWidth="1"/>
    <col min="6405" max="6407" width="9.375" style="38" customWidth="1"/>
    <col min="6408" max="6650" width="8" style="38"/>
    <col min="6651" max="6651" width="1" style="38" customWidth="1"/>
    <col min="6652" max="6652" width="16.25" style="38" customWidth="1"/>
    <col min="6653" max="6653" width="18.625" style="38" customWidth="1"/>
    <col min="6654" max="6654" width="6" style="38" customWidth="1"/>
    <col min="6655" max="6655" width="15.875" style="38" customWidth="1"/>
    <col min="6656" max="6656" width="10.375" style="38" customWidth="1"/>
    <col min="6657" max="6657" width="32.125" style="38" customWidth="1"/>
    <col min="6658" max="6658" width="13.625" style="38" customWidth="1"/>
    <col min="6659" max="6659" width="7.125" style="38" customWidth="1"/>
    <col min="6660" max="6660" width="4.375" style="38" customWidth="1"/>
    <col min="6661" max="6663" width="9.375" style="38" customWidth="1"/>
    <col min="6664" max="6906" width="8" style="38"/>
    <col min="6907" max="6907" width="1" style="38" customWidth="1"/>
    <col min="6908" max="6908" width="16.25" style="38" customWidth="1"/>
    <col min="6909" max="6909" width="18.625" style="38" customWidth="1"/>
    <col min="6910" max="6910" width="6" style="38" customWidth="1"/>
    <col min="6911" max="6911" width="15.875" style="38" customWidth="1"/>
    <col min="6912" max="6912" width="10.375" style="38" customWidth="1"/>
    <col min="6913" max="6913" width="32.125" style="38" customWidth="1"/>
    <col min="6914" max="6914" width="13.625" style="38" customWidth="1"/>
    <col min="6915" max="6915" width="7.125" style="38" customWidth="1"/>
    <col min="6916" max="6916" width="4.375" style="38" customWidth="1"/>
    <col min="6917" max="6919" width="9.375" style="38" customWidth="1"/>
    <col min="6920" max="7162" width="8" style="38"/>
    <col min="7163" max="7163" width="1" style="38" customWidth="1"/>
    <col min="7164" max="7164" width="16.25" style="38" customWidth="1"/>
    <col min="7165" max="7165" width="18.625" style="38" customWidth="1"/>
    <col min="7166" max="7166" width="6" style="38" customWidth="1"/>
    <col min="7167" max="7167" width="15.875" style="38" customWidth="1"/>
    <col min="7168" max="7168" width="10.375" style="38" customWidth="1"/>
    <col min="7169" max="7169" width="32.125" style="38" customWidth="1"/>
    <col min="7170" max="7170" width="13.625" style="38" customWidth="1"/>
    <col min="7171" max="7171" width="7.125" style="38" customWidth="1"/>
    <col min="7172" max="7172" width="4.375" style="38" customWidth="1"/>
    <col min="7173" max="7175" width="9.375" style="38" customWidth="1"/>
    <col min="7176" max="7418" width="8" style="38"/>
    <col min="7419" max="7419" width="1" style="38" customWidth="1"/>
    <col min="7420" max="7420" width="16.25" style="38" customWidth="1"/>
    <col min="7421" max="7421" width="18.625" style="38" customWidth="1"/>
    <col min="7422" max="7422" width="6" style="38" customWidth="1"/>
    <col min="7423" max="7423" width="15.875" style="38" customWidth="1"/>
    <col min="7424" max="7424" width="10.375" style="38" customWidth="1"/>
    <col min="7425" max="7425" width="32.125" style="38" customWidth="1"/>
    <col min="7426" max="7426" width="13.625" style="38" customWidth="1"/>
    <col min="7427" max="7427" width="7.125" style="38" customWidth="1"/>
    <col min="7428" max="7428" width="4.375" style="38" customWidth="1"/>
    <col min="7429" max="7431" width="9.375" style="38" customWidth="1"/>
    <col min="7432" max="7674" width="8" style="38"/>
    <col min="7675" max="7675" width="1" style="38" customWidth="1"/>
    <col min="7676" max="7676" width="16.25" style="38" customWidth="1"/>
    <col min="7677" max="7677" width="18.625" style="38" customWidth="1"/>
    <col min="7678" max="7678" width="6" style="38" customWidth="1"/>
    <col min="7679" max="7679" width="15.875" style="38" customWidth="1"/>
    <col min="7680" max="7680" width="10.375" style="38" customWidth="1"/>
    <col min="7681" max="7681" width="32.125" style="38" customWidth="1"/>
    <col min="7682" max="7682" width="13.625" style="38" customWidth="1"/>
    <col min="7683" max="7683" width="7.125" style="38" customWidth="1"/>
    <col min="7684" max="7684" width="4.375" style="38" customWidth="1"/>
    <col min="7685" max="7687" width="9.375" style="38" customWidth="1"/>
    <col min="7688" max="7930" width="8" style="38"/>
    <col min="7931" max="7931" width="1" style="38" customWidth="1"/>
    <col min="7932" max="7932" width="16.25" style="38" customWidth="1"/>
    <col min="7933" max="7933" width="18.625" style="38" customWidth="1"/>
    <col min="7934" max="7934" width="6" style="38" customWidth="1"/>
    <col min="7935" max="7935" width="15.875" style="38" customWidth="1"/>
    <col min="7936" max="7936" width="10.375" style="38" customWidth="1"/>
    <col min="7937" max="7937" width="32.125" style="38" customWidth="1"/>
    <col min="7938" max="7938" width="13.625" style="38" customWidth="1"/>
    <col min="7939" max="7939" width="7.125" style="38" customWidth="1"/>
    <col min="7940" max="7940" width="4.375" style="38" customWidth="1"/>
    <col min="7941" max="7943" width="9.375" style="38" customWidth="1"/>
    <col min="7944" max="8186" width="8" style="38"/>
    <col min="8187" max="8187" width="1" style="38" customWidth="1"/>
    <col min="8188" max="8188" width="16.25" style="38" customWidth="1"/>
    <col min="8189" max="8189" width="18.625" style="38" customWidth="1"/>
    <col min="8190" max="8190" width="6" style="38" customWidth="1"/>
    <col min="8191" max="8191" width="15.875" style="38" customWidth="1"/>
    <col min="8192" max="8192" width="10.375" style="38" customWidth="1"/>
    <col min="8193" max="8193" width="32.125" style="38" customWidth="1"/>
    <col min="8194" max="8194" width="13.625" style="38" customWidth="1"/>
    <col min="8195" max="8195" width="7.125" style="38" customWidth="1"/>
    <col min="8196" max="8196" width="4.375" style="38" customWidth="1"/>
    <col min="8197" max="8199" width="9.375" style="38" customWidth="1"/>
    <col min="8200" max="8442" width="8" style="38"/>
    <col min="8443" max="8443" width="1" style="38" customWidth="1"/>
    <col min="8444" max="8444" width="16.25" style="38" customWidth="1"/>
    <col min="8445" max="8445" width="18.625" style="38" customWidth="1"/>
    <col min="8446" max="8446" width="6" style="38" customWidth="1"/>
    <col min="8447" max="8447" width="15.875" style="38" customWidth="1"/>
    <col min="8448" max="8448" width="10.375" style="38" customWidth="1"/>
    <col min="8449" max="8449" width="32.125" style="38" customWidth="1"/>
    <col min="8450" max="8450" width="13.625" style="38" customWidth="1"/>
    <col min="8451" max="8451" width="7.125" style="38" customWidth="1"/>
    <col min="8452" max="8452" width="4.375" style="38" customWidth="1"/>
    <col min="8453" max="8455" width="9.375" style="38" customWidth="1"/>
    <col min="8456" max="8698" width="8" style="38"/>
    <col min="8699" max="8699" width="1" style="38" customWidth="1"/>
    <col min="8700" max="8700" width="16.25" style="38" customWidth="1"/>
    <col min="8701" max="8701" width="18.625" style="38" customWidth="1"/>
    <col min="8702" max="8702" width="6" style="38" customWidth="1"/>
    <col min="8703" max="8703" width="15.875" style="38" customWidth="1"/>
    <col min="8704" max="8704" width="10.375" style="38" customWidth="1"/>
    <col min="8705" max="8705" width="32.125" style="38" customWidth="1"/>
    <col min="8706" max="8706" width="13.625" style="38" customWidth="1"/>
    <col min="8707" max="8707" width="7.125" style="38" customWidth="1"/>
    <col min="8708" max="8708" width="4.375" style="38" customWidth="1"/>
    <col min="8709" max="8711" width="9.375" style="38" customWidth="1"/>
    <col min="8712" max="8954" width="8" style="38"/>
    <col min="8955" max="8955" width="1" style="38" customWidth="1"/>
    <col min="8956" max="8956" width="16.25" style="38" customWidth="1"/>
    <col min="8957" max="8957" width="18.625" style="38" customWidth="1"/>
    <col min="8958" max="8958" width="6" style="38" customWidth="1"/>
    <col min="8959" max="8959" width="15.875" style="38" customWidth="1"/>
    <col min="8960" max="8960" width="10.375" style="38" customWidth="1"/>
    <col min="8961" max="8961" width="32.125" style="38" customWidth="1"/>
    <col min="8962" max="8962" width="13.625" style="38" customWidth="1"/>
    <col min="8963" max="8963" width="7.125" style="38" customWidth="1"/>
    <col min="8964" max="8964" width="4.375" style="38" customWidth="1"/>
    <col min="8965" max="8967" width="9.375" style="38" customWidth="1"/>
    <col min="8968" max="9210" width="8" style="38"/>
    <col min="9211" max="9211" width="1" style="38" customWidth="1"/>
    <col min="9212" max="9212" width="16.25" style="38" customWidth="1"/>
    <col min="9213" max="9213" width="18.625" style="38" customWidth="1"/>
    <col min="9214" max="9214" width="6" style="38" customWidth="1"/>
    <col min="9215" max="9215" width="15.875" style="38" customWidth="1"/>
    <col min="9216" max="9216" width="10.375" style="38" customWidth="1"/>
    <col min="9217" max="9217" width="32.125" style="38" customWidth="1"/>
    <col min="9218" max="9218" width="13.625" style="38" customWidth="1"/>
    <col min="9219" max="9219" width="7.125" style="38" customWidth="1"/>
    <col min="9220" max="9220" width="4.375" style="38" customWidth="1"/>
    <col min="9221" max="9223" width="9.375" style="38" customWidth="1"/>
    <col min="9224" max="9466" width="8" style="38"/>
    <col min="9467" max="9467" width="1" style="38" customWidth="1"/>
    <col min="9468" max="9468" width="16.25" style="38" customWidth="1"/>
    <col min="9469" max="9469" width="18.625" style="38" customWidth="1"/>
    <col min="9470" max="9470" width="6" style="38" customWidth="1"/>
    <col min="9471" max="9471" width="15.875" style="38" customWidth="1"/>
    <col min="9472" max="9472" width="10.375" style="38" customWidth="1"/>
    <col min="9473" max="9473" width="32.125" style="38" customWidth="1"/>
    <col min="9474" max="9474" width="13.625" style="38" customWidth="1"/>
    <col min="9475" max="9475" width="7.125" style="38" customWidth="1"/>
    <col min="9476" max="9476" width="4.375" style="38" customWidth="1"/>
    <col min="9477" max="9479" width="9.375" style="38" customWidth="1"/>
    <col min="9480" max="9722" width="8" style="38"/>
    <col min="9723" max="9723" width="1" style="38" customWidth="1"/>
    <col min="9724" max="9724" width="16.25" style="38" customWidth="1"/>
    <col min="9725" max="9725" width="18.625" style="38" customWidth="1"/>
    <col min="9726" max="9726" width="6" style="38" customWidth="1"/>
    <col min="9727" max="9727" width="15.875" style="38" customWidth="1"/>
    <col min="9728" max="9728" width="10.375" style="38" customWidth="1"/>
    <col min="9729" max="9729" width="32.125" style="38" customWidth="1"/>
    <col min="9730" max="9730" width="13.625" style="38" customWidth="1"/>
    <col min="9731" max="9731" width="7.125" style="38" customWidth="1"/>
    <col min="9732" max="9732" width="4.375" style="38" customWidth="1"/>
    <col min="9733" max="9735" width="9.375" style="38" customWidth="1"/>
    <col min="9736" max="9978" width="8" style="38"/>
    <col min="9979" max="9979" width="1" style="38" customWidth="1"/>
    <col min="9980" max="9980" width="16.25" style="38" customWidth="1"/>
    <col min="9981" max="9981" width="18.625" style="38" customWidth="1"/>
    <col min="9982" max="9982" width="6" style="38" customWidth="1"/>
    <col min="9983" max="9983" width="15.875" style="38" customWidth="1"/>
    <col min="9984" max="9984" width="10.375" style="38" customWidth="1"/>
    <col min="9985" max="9985" width="32.125" style="38" customWidth="1"/>
    <col min="9986" max="9986" width="13.625" style="38" customWidth="1"/>
    <col min="9987" max="9987" width="7.125" style="38" customWidth="1"/>
    <col min="9988" max="9988" width="4.375" style="38" customWidth="1"/>
    <col min="9989" max="9991" width="9.375" style="38" customWidth="1"/>
    <col min="9992" max="10234" width="8" style="38"/>
    <col min="10235" max="10235" width="1" style="38" customWidth="1"/>
    <col min="10236" max="10236" width="16.25" style="38" customWidth="1"/>
    <col min="10237" max="10237" width="18.625" style="38" customWidth="1"/>
    <col min="10238" max="10238" width="6" style="38" customWidth="1"/>
    <col min="10239" max="10239" width="15.875" style="38" customWidth="1"/>
    <col min="10240" max="10240" width="10.375" style="38" customWidth="1"/>
    <col min="10241" max="10241" width="32.125" style="38" customWidth="1"/>
    <col min="10242" max="10242" width="13.625" style="38" customWidth="1"/>
    <col min="10243" max="10243" width="7.125" style="38" customWidth="1"/>
    <col min="10244" max="10244" width="4.375" style="38" customWidth="1"/>
    <col min="10245" max="10247" width="9.375" style="38" customWidth="1"/>
    <col min="10248" max="10490" width="8" style="38"/>
    <col min="10491" max="10491" width="1" style="38" customWidth="1"/>
    <col min="10492" max="10492" width="16.25" style="38" customWidth="1"/>
    <col min="10493" max="10493" width="18.625" style="38" customWidth="1"/>
    <col min="10494" max="10494" width="6" style="38" customWidth="1"/>
    <col min="10495" max="10495" width="15.875" style="38" customWidth="1"/>
    <col min="10496" max="10496" width="10.375" style="38" customWidth="1"/>
    <col min="10497" max="10497" width="32.125" style="38" customWidth="1"/>
    <col min="10498" max="10498" width="13.625" style="38" customWidth="1"/>
    <col min="10499" max="10499" width="7.125" style="38" customWidth="1"/>
    <col min="10500" max="10500" width="4.375" style="38" customWidth="1"/>
    <col min="10501" max="10503" width="9.375" style="38" customWidth="1"/>
    <col min="10504" max="10746" width="8" style="38"/>
    <col min="10747" max="10747" width="1" style="38" customWidth="1"/>
    <col min="10748" max="10748" width="16.25" style="38" customWidth="1"/>
    <col min="10749" max="10749" width="18.625" style="38" customWidth="1"/>
    <col min="10750" max="10750" width="6" style="38" customWidth="1"/>
    <col min="10751" max="10751" width="15.875" style="38" customWidth="1"/>
    <col min="10752" max="10752" width="10.375" style="38" customWidth="1"/>
    <col min="10753" max="10753" width="32.125" style="38" customWidth="1"/>
    <col min="10754" max="10754" width="13.625" style="38" customWidth="1"/>
    <col min="10755" max="10755" width="7.125" style="38" customWidth="1"/>
    <col min="10756" max="10756" width="4.375" style="38" customWidth="1"/>
    <col min="10757" max="10759" width="9.375" style="38" customWidth="1"/>
    <col min="10760" max="11002" width="8" style="38"/>
    <col min="11003" max="11003" width="1" style="38" customWidth="1"/>
    <col min="11004" max="11004" width="16.25" style="38" customWidth="1"/>
    <col min="11005" max="11005" width="18.625" style="38" customWidth="1"/>
    <col min="11006" max="11006" width="6" style="38" customWidth="1"/>
    <col min="11007" max="11007" width="15.875" style="38" customWidth="1"/>
    <col min="11008" max="11008" width="10.375" style="38" customWidth="1"/>
    <col min="11009" max="11009" width="32.125" style="38" customWidth="1"/>
    <col min="11010" max="11010" width="13.625" style="38" customWidth="1"/>
    <col min="11011" max="11011" width="7.125" style="38" customWidth="1"/>
    <col min="11012" max="11012" width="4.375" style="38" customWidth="1"/>
    <col min="11013" max="11015" width="9.375" style="38" customWidth="1"/>
    <col min="11016" max="11258" width="8" style="38"/>
    <col min="11259" max="11259" width="1" style="38" customWidth="1"/>
    <col min="11260" max="11260" width="16.25" style="38" customWidth="1"/>
    <col min="11261" max="11261" width="18.625" style="38" customWidth="1"/>
    <col min="11262" max="11262" width="6" style="38" customWidth="1"/>
    <col min="11263" max="11263" width="15.875" style="38" customWidth="1"/>
    <col min="11264" max="11264" width="10.375" style="38" customWidth="1"/>
    <col min="11265" max="11265" width="32.125" style="38" customWidth="1"/>
    <col min="11266" max="11266" width="13.625" style="38" customWidth="1"/>
    <col min="11267" max="11267" width="7.125" style="38" customWidth="1"/>
    <col min="11268" max="11268" width="4.375" style="38" customWidth="1"/>
    <col min="11269" max="11271" width="9.375" style="38" customWidth="1"/>
    <col min="11272" max="11514" width="8" style="38"/>
    <col min="11515" max="11515" width="1" style="38" customWidth="1"/>
    <col min="11516" max="11516" width="16.25" style="38" customWidth="1"/>
    <col min="11517" max="11517" width="18.625" style="38" customWidth="1"/>
    <col min="11518" max="11518" width="6" style="38" customWidth="1"/>
    <col min="11519" max="11519" width="15.875" style="38" customWidth="1"/>
    <col min="11520" max="11520" width="10.375" style="38" customWidth="1"/>
    <col min="11521" max="11521" width="32.125" style="38" customWidth="1"/>
    <col min="11522" max="11522" width="13.625" style="38" customWidth="1"/>
    <col min="11523" max="11523" width="7.125" style="38" customWidth="1"/>
    <col min="11524" max="11524" width="4.375" style="38" customWidth="1"/>
    <col min="11525" max="11527" width="9.375" style="38" customWidth="1"/>
    <col min="11528" max="11770" width="8" style="38"/>
    <col min="11771" max="11771" width="1" style="38" customWidth="1"/>
    <col min="11772" max="11772" width="16.25" style="38" customWidth="1"/>
    <col min="11773" max="11773" width="18.625" style="38" customWidth="1"/>
    <col min="11774" max="11774" width="6" style="38" customWidth="1"/>
    <col min="11775" max="11775" width="15.875" style="38" customWidth="1"/>
    <col min="11776" max="11776" width="10.375" style="38" customWidth="1"/>
    <col min="11777" max="11777" width="32.125" style="38" customWidth="1"/>
    <col min="11778" max="11778" width="13.625" style="38" customWidth="1"/>
    <col min="11779" max="11779" width="7.125" style="38" customWidth="1"/>
    <col min="11780" max="11780" width="4.375" style="38" customWidth="1"/>
    <col min="11781" max="11783" width="9.375" style="38" customWidth="1"/>
    <col min="11784" max="12026" width="8" style="38"/>
    <col min="12027" max="12027" width="1" style="38" customWidth="1"/>
    <col min="12028" max="12028" width="16.25" style="38" customWidth="1"/>
    <col min="12029" max="12029" width="18.625" style="38" customWidth="1"/>
    <col min="12030" max="12030" width="6" style="38" customWidth="1"/>
    <col min="12031" max="12031" width="15.875" style="38" customWidth="1"/>
    <col min="12032" max="12032" width="10.375" style="38" customWidth="1"/>
    <col min="12033" max="12033" width="32.125" style="38" customWidth="1"/>
    <col min="12034" max="12034" width="13.625" style="38" customWidth="1"/>
    <col min="12035" max="12035" width="7.125" style="38" customWidth="1"/>
    <col min="12036" max="12036" width="4.375" style="38" customWidth="1"/>
    <col min="12037" max="12039" width="9.375" style="38" customWidth="1"/>
    <col min="12040" max="12282" width="8" style="38"/>
    <col min="12283" max="12283" width="1" style="38" customWidth="1"/>
    <col min="12284" max="12284" width="16.25" style="38" customWidth="1"/>
    <col min="12285" max="12285" width="18.625" style="38" customWidth="1"/>
    <col min="12286" max="12286" width="6" style="38" customWidth="1"/>
    <col min="12287" max="12287" width="15.875" style="38" customWidth="1"/>
    <col min="12288" max="12288" width="10.375" style="38" customWidth="1"/>
    <col min="12289" max="12289" width="32.125" style="38" customWidth="1"/>
    <col min="12290" max="12290" width="13.625" style="38" customWidth="1"/>
    <col min="12291" max="12291" width="7.125" style="38" customWidth="1"/>
    <col min="12292" max="12292" width="4.375" style="38" customWidth="1"/>
    <col min="12293" max="12295" width="9.375" style="38" customWidth="1"/>
    <col min="12296" max="12538" width="8" style="38"/>
    <col min="12539" max="12539" width="1" style="38" customWidth="1"/>
    <col min="12540" max="12540" width="16.25" style="38" customWidth="1"/>
    <col min="12541" max="12541" width="18.625" style="38" customWidth="1"/>
    <col min="12542" max="12542" width="6" style="38" customWidth="1"/>
    <col min="12543" max="12543" width="15.875" style="38" customWidth="1"/>
    <col min="12544" max="12544" width="10.375" style="38" customWidth="1"/>
    <col min="12545" max="12545" width="32.125" style="38" customWidth="1"/>
    <col min="12546" max="12546" width="13.625" style="38" customWidth="1"/>
    <col min="12547" max="12547" width="7.125" style="38" customWidth="1"/>
    <col min="12548" max="12548" width="4.375" style="38" customWidth="1"/>
    <col min="12549" max="12551" width="9.375" style="38" customWidth="1"/>
    <col min="12552" max="12794" width="8" style="38"/>
    <col min="12795" max="12795" width="1" style="38" customWidth="1"/>
    <col min="12796" max="12796" width="16.25" style="38" customWidth="1"/>
    <col min="12797" max="12797" width="18.625" style="38" customWidth="1"/>
    <col min="12798" max="12798" width="6" style="38" customWidth="1"/>
    <col min="12799" max="12799" width="15.875" style="38" customWidth="1"/>
    <col min="12800" max="12800" width="10.375" style="38" customWidth="1"/>
    <col min="12801" max="12801" width="32.125" style="38" customWidth="1"/>
    <col min="12802" max="12802" width="13.625" style="38" customWidth="1"/>
    <col min="12803" max="12803" width="7.125" style="38" customWidth="1"/>
    <col min="12804" max="12804" width="4.375" style="38" customWidth="1"/>
    <col min="12805" max="12807" width="9.375" style="38" customWidth="1"/>
    <col min="12808" max="13050" width="8" style="38"/>
    <col min="13051" max="13051" width="1" style="38" customWidth="1"/>
    <col min="13052" max="13052" width="16.25" style="38" customWidth="1"/>
    <col min="13053" max="13053" width="18.625" style="38" customWidth="1"/>
    <col min="13054" max="13054" width="6" style="38" customWidth="1"/>
    <col min="13055" max="13055" width="15.875" style="38" customWidth="1"/>
    <col min="13056" max="13056" width="10.375" style="38" customWidth="1"/>
    <col min="13057" max="13057" width="32.125" style="38" customWidth="1"/>
    <col min="13058" max="13058" width="13.625" style="38" customWidth="1"/>
    <col min="13059" max="13059" width="7.125" style="38" customWidth="1"/>
    <col min="13060" max="13060" width="4.375" style="38" customWidth="1"/>
    <col min="13061" max="13063" width="9.375" style="38" customWidth="1"/>
    <col min="13064" max="13306" width="8" style="38"/>
    <col min="13307" max="13307" width="1" style="38" customWidth="1"/>
    <col min="13308" max="13308" width="16.25" style="38" customWidth="1"/>
    <col min="13309" max="13309" width="18.625" style="38" customWidth="1"/>
    <col min="13310" max="13310" width="6" style="38" customWidth="1"/>
    <col min="13311" max="13311" width="15.875" style="38" customWidth="1"/>
    <col min="13312" max="13312" width="10.375" style="38" customWidth="1"/>
    <col min="13313" max="13313" width="32.125" style="38" customWidth="1"/>
    <col min="13314" max="13314" width="13.625" style="38" customWidth="1"/>
    <col min="13315" max="13315" width="7.125" style="38" customWidth="1"/>
    <col min="13316" max="13316" width="4.375" style="38" customWidth="1"/>
    <col min="13317" max="13319" width="9.375" style="38" customWidth="1"/>
    <col min="13320" max="13562" width="8" style="38"/>
    <col min="13563" max="13563" width="1" style="38" customWidth="1"/>
    <col min="13564" max="13564" width="16.25" style="38" customWidth="1"/>
    <col min="13565" max="13565" width="18.625" style="38" customWidth="1"/>
    <col min="13566" max="13566" width="6" style="38" customWidth="1"/>
    <col min="13567" max="13567" width="15.875" style="38" customWidth="1"/>
    <col min="13568" max="13568" width="10.375" style="38" customWidth="1"/>
    <col min="13569" max="13569" width="32.125" style="38" customWidth="1"/>
    <col min="13570" max="13570" width="13.625" style="38" customWidth="1"/>
    <col min="13571" max="13571" width="7.125" style="38" customWidth="1"/>
    <col min="13572" max="13572" width="4.375" style="38" customWidth="1"/>
    <col min="13573" max="13575" width="9.375" style="38" customWidth="1"/>
    <col min="13576" max="13818" width="8" style="38"/>
    <col min="13819" max="13819" width="1" style="38" customWidth="1"/>
    <col min="13820" max="13820" width="16.25" style="38" customWidth="1"/>
    <col min="13821" max="13821" width="18.625" style="38" customWidth="1"/>
    <col min="13822" max="13822" width="6" style="38" customWidth="1"/>
    <col min="13823" max="13823" width="15.875" style="38" customWidth="1"/>
    <col min="13824" max="13824" width="10.375" style="38" customWidth="1"/>
    <col min="13825" max="13825" width="32.125" style="38" customWidth="1"/>
    <col min="13826" max="13826" width="13.625" style="38" customWidth="1"/>
    <col min="13827" max="13827" width="7.125" style="38" customWidth="1"/>
    <col min="13828" max="13828" width="4.375" style="38" customWidth="1"/>
    <col min="13829" max="13831" width="9.375" style="38" customWidth="1"/>
    <col min="13832" max="14074" width="8" style="38"/>
    <col min="14075" max="14075" width="1" style="38" customWidth="1"/>
    <col min="14076" max="14076" width="16.25" style="38" customWidth="1"/>
    <col min="14077" max="14077" width="18.625" style="38" customWidth="1"/>
    <col min="14078" max="14078" width="6" style="38" customWidth="1"/>
    <col min="14079" max="14079" width="15.875" style="38" customWidth="1"/>
    <col min="14080" max="14080" width="10.375" style="38" customWidth="1"/>
    <col min="14081" max="14081" width="32.125" style="38" customWidth="1"/>
    <col min="14082" max="14082" width="13.625" style="38" customWidth="1"/>
    <col min="14083" max="14083" width="7.125" style="38" customWidth="1"/>
    <col min="14084" max="14084" width="4.375" style="38" customWidth="1"/>
    <col min="14085" max="14087" width="9.375" style="38" customWidth="1"/>
    <col min="14088" max="14330" width="8" style="38"/>
    <col min="14331" max="14331" width="1" style="38" customWidth="1"/>
    <col min="14332" max="14332" width="16.25" style="38" customWidth="1"/>
    <col min="14333" max="14333" width="18.625" style="38" customWidth="1"/>
    <col min="14334" max="14334" width="6" style="38" customWidth="1"/>
    <col min="14335" max="14335" width="15.875" style="38" customWidth="1"/>
    <col min="14336" max="14336" width="10.375" style="38" customWidth="1"/>
    <col min="14337" max="14337" width="32.125" style="38" customWidth="1"/>
    <col min="14338" max="14338" width="13.625" style="38" customWidth="1"/>
    <col min="14339" max="14339" width="7.125" style="38" customWidth="1"/>
    <col min="14340" max="14340" width="4.375" style="38" customWidth="1"/>
    <col min="14341" max="14343" width="9.375" style="38" customWidth="1"/>
    <col min="14344" max="14586" width="8" style="38"/>
    <col min="14587" max="14587" width="1" style="38" customWidth="1"/>
    <col min="14588" max="14588" width="16.25" style="38" customWidth="1"/>
    <col min="14589" max="14589" width="18.625" style="38" customWidth="1"/>
    <col min="14590" max="14590" width="6" style="38" customWidth="1"/>
    <col min="14591" max="14591" width="15.875" style="38" customWidth="1"/>
    <col min="14592" max="14592" width="10.375" style="38" customWidth="1"/>
    <col min="14593" max="14593" width="32.125" style="38" customWidth="1"/>
    <col min="14594" max="14594" width="13.625" style="38" customWidth="1"/>
    <col min="14595" max="14595" width="7.125" style="38" customWidth="1"/>
    <col min="14596" max="14596" width="4.375" style="38" customWidth="1"/>
    <col min="14597" max="14599" width="9.375" style="38" customWidth="1"/>
    <col min="14600" max="14842" width="8" style="38"/>
    <col min="14843" max="14843" width="1" style="38" customWidth="1"/>
    <col min="14844" max="14844" width="16.25" style="38" customWidth="1"/>
    <col min="14845" max="14845" width="18.625" style="38" customWidth="1"/>
    <col min="14846" max="14846" width="6" style="38" customWidth="1"/>
    <col min="14847" max="14847" width="15.875" style="38" customWidth="1"/>
    <col min="14848" max="14848" width="10.375" style="38" customWidth="1"/>
    <col min="14849" max="14849" width="32.125" style="38" customWidth="1"/>
    <col min="14850" max="14850" width="13.625" style="38" customWidth="1"/>
    <col min="14851" max="14851" width="7.125" style="38" customWidth="1"/>
    <col min="14852" max="14852" width="4.375" style="38" customWidth="1"/>
    <col min="14853" max="14855" width="9.375" style="38" customWidth="1"/>
    <col min="14856" max="15098" width="8" style="38"/>
    <col min="15099" max="15099" width="1" style="38" customWidth="1"/>
    <col min="15100" max="15100" width="16.25" style="38" customWidth="1"/>
    <col min="15101" max="15101" width="18.625" style="38" customWidth="1"/>
    <col min="15102" max="15102" width="6" style="38" customWidth="1"/>
    <col min="15103" max="15103" width="15.875" style="38" customWidth="1"/>
    <col min="15104" max="15104" width="10.375" style="38" customWidth="1"/>
    <col min="15105" max="15105" width="32.125" style="38" customWidth="1"/>
    <col min="15106" max="15106" width="13.625" style="38" customWidth="1"/>
    <col min="15107" max="15107" width="7.125" style="38" customWidth="1"/>
    <col min="15108" max="15108" width="4.375" style="38" customWidth="1"/>
    <col min="15109" max="15111" width="9.375" style="38" customWidth="1"/>
    <col min="15112" max="15354" width="8" style="38"/>
    <col min="15355" max="15355" width="1" style="38" customWidth="1"/>
    <col min="15356" max="15356" width="16.25" style="38" customWidth="1"/>
    <col min="15357" max="15357" width="18.625" style="38" customWidth="1"/>
    <col min="15358" max="15358" width="6" style="38" customWidth="1"/>
    <col min="15359" max="15359" width="15.875" style="38" customWidth="1"/>
    <col min="15360" max="15360" width="10.375" style="38" customWidth="1"/>
    <col min="15361" max="15361" width="32.125" style="38" customWidth="1"/>
    <col min="15362" max="15362" width="13.625" style="38" customWidth="1"/>
    <col min="15363" max="15363" width="7.125" style="38" customWidth="1"/>
    <col min="15364" max="15364" width="4.375" style="38" customWidth="1"/>
    <col min="15365" max="15367" width="9.375" style="38" customWidth="1"/>
    <col min="15368" max="15610" width="8" style="38"/>
    <col min="15611" max="15611" width="1" style="38" customWidth="1"/>
    <col min="15612" max="15612" width="16.25" style="38" customWidth="1"/>
    <col min="15613" max="15613" width="18.625" style="38" customWidth="1"/>
    <col min="15614" max="15614" width="6" style="38" customWidth="1"/>
    <col min="15615" max="15615" width="15.875" style="38" customWidth="1"/>
    <col min="15616" max="15616" width="10.375" style="38" customWidth="1"/>
    <col min="15617" max="15617" width="32.125" style="38" customWidth="1"/>
    <col min="15618" max="15618" width="13.625" style="38" customWidth="1"/>
    <col min="15619" max="15619" width="7.125" style="38" customWidth="1"/>
    <col min="15620" max="15620" width="4.375" style="38" customWidth="1"/>
    <col min="15621" max="15623" width="9.375" style="38" customWidth="1"/>
    <col min="15624" max="15866" width="8" style="38"/>
    <col min="15867" max="15867" width="1" style="38" customWidth="1"/>
    <col min="15868" max="15868" width="16.25" style="38" customWidth="1"/>
    <col min="15869" max="15869" width="18.625" style="38" customWidth="1"/>
    <col min="15870" max="15870" width="6" style="38" customWidth="1"/>
    <col min="15871" max="15871" width="15.875" style="38" customWidth="1"/>
    <col min="15872" max="15872" width="10.375" style="38" customWidth="1"/>
    <col min="15873" max="15873" width="32.125" style="38" customWidth="1"/>
    <col min="15874" max="15874" width="13.625" style="38" customWidth="1"/>
    <col min="15875" max="15875" width="7.125" style="38" customWidth="1"/>
    <col min="15876" max="15876" width="4.375" style="38" customWidth="1"/>
    <col min="15877" max="15879" width="9.375" style="38" customWidth="1"/>
    <col min="15880" max="16122" width="8" style="38"/>
    <col min="16123" max="16123" width="1" style="38" customWidth="1"/>
    <col min="16124" max="16124" width="16.25" style="38" customWidth="1"/>
    <col min="16125" max="16125" width="18.625" style="38" customWidth="1"/>
    <col min="16126" max="16126" width="6" style="38" customWidth="1"/>
    <col min="16127" max="16127" width="15.875" style="38" customWidth="1"/>
    <col min="16128" max="16128" width="10.375" style="38" customWidth="1"/>
    <col min="16129" max="16129" width="32.125" style="38" customWidth="1"/>
    <col min="16130" max="16130" width="13.625" style="38" customWidth="1"/>
    <col min="16131" max="16131" width="7.125" style="38" customWidth="1"/>
    <col min="16132" max="16132" width="4.375" style="38" customWidth="1"/>
    <col min="16133" max="16135" width="9.375" style="38" customWidth="1"/>
    <col min="16136" max="16384" width="9" style="38"/>
  </cols>
  <sheetData>
    <row r="1" spans="1:11" ht="36" customHeight="1" x14ac:dyDescent="0.25">
      <c r="B1" s="43" t="s">
        <v>7</v>
      </c>
      <c r="C1" s="434" t="str">
        <f>'0.Claimant Home Page'!F4</f>
        <v>Municipality of Gold Standard</v>
      </c>
      <c r="D1" s="434"/>
      <c r="E1" s="54"/>
    </row>
    <row r="2" spans="1:11" ht="45" customHeight="1" x14ac:dyDescent="0.25">
      <c r="B2" s="26" t="s">
        <v>56</v>
      </c>
      <c r="C2" s="412" t="s">
        <v>188</v>
      </c>
      <c r="D2" s="412"/>
      <c r="E2" s="412"/>
      <c r="F2" s="412"/>
    </row>
    <row r="3" spans="1:11" ht="15" customHeight="1" x14ac:dyDescent="0.25">
      <c r="E3" s="56">
        <v>0.4</v>
      </c>
    </row>
    <row r="4" spans="1:11" ht="42.75" customHeight="1" x14ac:dyDescent="0.25">
      <c r="B4" s="232" t="s">
        <v>91</v>
      </c>
      <c r="C4" s="233" t="s">
        <v>92</v>
      </c>
      <c r="D4" s="140" t="s">
        <v>17</v>
      </c>
      <c r="E4" s="140" t="s">
        <v>11</v>
      </c>
      <c r="F4" s="141" t="s">
        <v>59</v>
      </c>
      <c r="G4" s="142" t="s">
        <v>39</v>
      </c>
      <c r="I4" s="38" t="e">
        <f>#REF!</f>
        <v>#REF!</v>
      </c>
      <c r="J4" s="38" t="e">
        <f>#REF!</f>
        <v>#REF!</v>
      </c>
      <c r="K4" s="38" t="s">
        <v>6</v>
      </c>
    </row>
    <row r="5" spans="1:11" ht="42.75" customHeight="1" x14ac:dyDescent="0.25">
      <c r="B5" s="282">
        <v>42678</v>
      </c>
      <c r="C5" s="282">
        <v>42700</v>
      </c>
      <c r="D5" s="131" t="s">
        <v>127</v>
      </c>
      <c r="E5" s="131" t="s">
        <v>151</v>
      </c>
      <c r="F5" s="132">
        <v>4000</v>
      </c>
      <c r="G5" s="133">
        <v>879</v>
      </c>
      <c r="I5" s="38" t="e">
        <f>#REF!</f>
        <v>#REF!</v>
      </c>
      <c r="J5" s="57" t="e">
        <f>#REF!</f>
        <v>#REF!</v>
      </c>
      <c r="K5" s="57" t="e">
        <f>SUMIF($H$5:$H$9,I5,$I$5:$I$9)</f>
        <v>#REF!</v>
      </c>
    </row>
    <row r="6" spans="1:11" ht="60.75" customHeight="1" x14ac:dyDescent="0.25">
      <c r="A6" s="362" t="s">
        <v>20</v>
      </c>
      <c r="B6" s="282">
        <v>42756</v>
      </c>
      <c r="C6" s="282">
        <v>42756</v>
      </c>
      <c r="D6" s="134" t="s">
        <v>200</v>
      </c>
      <c r="E6" s="134" t="s">
        <v>152</v>
      </c>
      <c r="F6" s="135">
        <v>3500</v>
      </c>
      <c r="G6" s="136">
        <v>1099</v>
      </c>
      <c r="I6" s="38" t="e">
        <f>#REF!</f>
        <v>#REF!</v>
      </c>
      <c r="J6" s="57" t="e">
        <f>#REF!</f>
        <v>#REF!</v>
      </c>
      <c r="K6" s="57" t="e">
        <f>SUMIF($H$5:$H$9,I6,$I$5:$I$9)</f>
        <v>#REF!</v>
      </c>
    </row>
    <row r="7" spans="1:11" ht="26.45" hidden="1" x14ac:dyDescent="0.25">
      <c r="B7" s="229" t="s">
        <v>105</v>
      </c>
      <c r="C7" s="229" t="s">
        <v>106</v>
      </c>
      <c r="D7" s="230" t="s">
        <v>17</v>
      </c>
      <c r="E7" s="230" t="s">
        <v>11</v>
      </c>
      <c r="F7" s="101" t="s">
        <v>4</v>
      </c>
      <c r="G7" s="231" t="s">
        <v>107</v>
      </c>
      <c r="H7" s="38" t="e">
        <f>#REF!</f>
        <v>#REF!</v>
      </c>
      <c r="I7" s="57" t="e">
        <f>#REF!</f>
        <v>#REF!</v>
      </c>
      <c r="J7" s="57" t="e">
        <f>SUMIF($H$5:$H$9,H7,$I$5:$I$9)</f>
        <v>#REF!</v>
      </c>
    </row>
    <row r="8" spans="1:11" x14ac:dyDescent="0.2">
      <c r="B8" s="157">
        <v>43094</v>
      </c>
      <c r="C8" s="158">
        <v>43095</v>
      </c>
      <c r="D8" s="91" t="s">
        <v>218</v>
      </c>
      <c r="E8" s="227" t="s">
        <v>219</v>
      </c>
      <c r="F8" s="225">
        <v>5000</v>
      </c>
      <c r="G8" s="276" t="s">
        <v>220</v>
      </c>
      <c r="I8" s="38" t="e">
        <f>#REF!</f>
        <v>#REF!</v>
      </c>
      <c r="J8" s="57" t="e">
        <f>#REF!</f>
        <v>#REF!</v>
      </c>
      <c r="K8" s="57" t="e">
        <f>SUMIF($H$5:$H$9,I8,$I$5:$I$9)</f>
        <v>#REF!</v>
      </c>
    </row>
    <row r="9" spans="1:11" ht="13.15" x14ac:dyDescent="0.25">
      <c r="B9" s="234"/>
      <c r="C9" s="234"/>
      <c r="D9" s="228"/>
      <c r="E9" s="228"/>
      <c r="F9" s="226"/>
      <c r="G9" s="277"/>
      <c r="I9" s="38" t="e">
        <f>#REF!</f>
        <v>#REF!</v>
      </c>
      <c r="J9" s="57" t="e">
        <f>#REF!</f>
        <v>#REF!</v>
      </c>
      <c r="K9" s="57" t="e">
        <f>SUMIF($H$5:$H$9,I9,$I$5:$I$9)</f>
        <v>#REF!</v>
      </c>
    </row>
    <row r="10" spans="1:11" ht="13.15" x14ac:dyDescent="0.25">
      <c r="B10" s="235"/>
      <c r="C10" s="235"/>
      <c r="D10" s="160"/>
      <c r="E10" s="160"/>
      <c r="F10" s="226"/>
      <c r="G10" s="277"/>
    </row>
    <row r="11" spans="1:11" ht="13.15" x14ac:dyDescent="0.25">
      <c r="B11" s="235"/>
      <c r="C11" s="235"/>
      <c r="D11" s="160"/>
      <c r="E11" s="160"/>
      <c r="F11" s="226"/>
      <c r="G11" s="277"/>
    </row>
    <row r="12" spans="1:11" x14ac:dyDescent="0.2">
      <c r="B12" s="235"/>
      <c r="C12" s="235"/>
      <c r="D12" s="160"/>
      <c r="E12" s="160"/>
      <c r="F12" s="226"/>
      <c r="G12" s="277"/>
    </row>
    <row r="13" spans="1:11" x14ac:dyDescent="0.2">
      <c r="B13" s="236"/>
      <c r="C13" s="236"/>
      <c r="D13" s="160"/>
      <c r="E13" s="160"/>
      <c r="F13" s="238"/>
      <c r="G13" s="277"/>
    </row>
    <row r="14" spans="1:11" x14ac:dyDescent="0.2">
      <c r="B14" s="236"/>
      <c r="C14" s="236"/>
      <c r="D14" s="160"/>
      <c r="E14" s="160"/>
      <c r="F14" s="238"/>
      <c r="G14" s="277"/>
    </row>
    <row r="15" spans="1:11" x14ac:dyDescent="0.2">
      <c r="B15" s="236"/>
      <c r="C15" s="236"/>
      <c r="D15" s="160"/>
      <c r="E15" s="160"/>
      <c r="F15" s="238"/>
      <c r="G15" s="277"/>
    </row>
    <row r="16" spans="1:11" x14ac:dyDescent="0.2">
      <c r="B16" s="236"/>
      <c r="C16" s="236"/>
      <c r="D16" s="160"/>
      <c r="E16" s="160"/>
      <c r="F16" s="238"/>
      <c r="G16" s="277"/>
    </row>
    <row r="17" spans="2:7" x14ac:dyDescent="0.2">
      <c r="B17" s="236"/>
      <c r="C17" s="236"/>
      <c r="D17" s="160"/>
      <c r="E17" s="160"/>
      <c r="F17" s="238"/>
      <c r="G17" s="277"/>
    </row>
    <row r="18" spans="2:7" x14ac:dyDescent="0.2">
      <c r="B18" s="236"/>
      <c r="C18" s="236"/>
      <c r="D18" s="160"/>
      <c r="E18" s="160"/>
      <c r="F18" s="238"/>
      <c r="G18" s="277"/>
    </row>
    <row r="19" spans="2:7" x14ac:dyDescent="0.2">
      <c r="B19" s="236"/>
      <c r="C19" s="236"/>
      <c r="D19" s="160"/>
      <c r="E19" s="160"/>
      <c r="F19" s="238"/>
      <c r="G19" s="277"/>
    </row>
    <row r="20" spans="2:7" x14ac:dyDescent="0.2">
      <c r="B20" s="236"/>
      <c r="C20" s="236"/>
      <c r="D20" s="160"/>
      <c r="E20" s="160"/>
      <c r="F20" s="238"/>
      <c r="G20" s="277"/>
    </row>
    <row r="21" spans="2:7" ht="13.5" thickBot="1" x14ac:dyDescent="0.25">
      <c r="D21" s="41" t="s">
        <v>64</v>
      </c>
      <c r="E21" s="224">
        <f>SUM(Revenue[Total])</f>
        <v>5000</v>
      </c>
    </row>
    <row r="22" spans="2:7" ht="13.5" thickTop="1" x14ac:dyDescent="0.2"/>
  </sheetData>
  <sheetProtection selectLockedCells="1"/>
  <mergeCells count="2">
    <mergeCell ref="C2:F2"/>
    <mergeCell ref="C1:D1"/>
  </mergeCells>
  <conditionalFormatting sqref="G8:G20">
    <cfRule type="expression" dxfId="28" priority="1" stopIfTrue="1">
      <formula>$F8=0</formula>
    </cfRule>
    <cfRule type="expression" dxfId="27" priority="2">
      <formula>$G8=0</formula>
    </cfRule>
  </conditionalFormatting>
  <dataValidations disablePrompts="1" count="2">
    <dataValidation type="date" allowBlank="1" showErrorMessage="1" errorTitle="Error" error="Please enter a valid date in the format YYYY/MM/DD" promptTitle="Date format" prompt="Enter dates as YYYY/MM/DD" sqref="B9:C12">
      <formula1>41640</formula1>
      <formula2>73415</formula2>
    </dataValidation>
    <dataValidation type="date" allowBlank="1" showErrorMessage="1" errorTitle="Error" error="Please enter a valid date in the format YYYY/MM/DD" sqref="B8:C8">
      <formula1>41640</formula1>
      <formula2>73415</formula2>
    </dataValidation>
  </dataValidations>
  <pageMargins left="0.25" right="0.25" top="1.054861111111111" bottom="0.75" header="0.3" footer="0.3"/>
  <pageSetup paperSize="5" fitToHeight="0" orientation="landscape" horizontalDpi="300" verticalDpi="300" r:id="rId1"/>
  <headerFooter>
    <oddHeader>&amp;L&amp;G&amp;C&amp;"Arial,Bold"&amp;18&amp;K000000Natural Disaster Related Revenue
&amp;R&amp;"Arial,Bold"Municipal Disaster Recovery Assistance Program</oddHeader>
    <oddFooter>&amp;RPage &amp;P of &amp;N</oddFooter>
  </headerFooter>
  <drawing r:id="rId2"/>
  <legacyDrawingHF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/>
    <pageSetUpPr fitToPage="1"/>
  </sheetPr>
  <dimension ref="B1:H25"/>
  <sheetViews>
    <sheetView showGridLines="0" tabSelected="1" view="pageLayout" zoomScaleNormal="75" workbookViewId="0">
      <selection activeCell="L13" sqref="L13"/>
    </sheetView>
  </sheetViews>
  <sheetFormatPr defaultRowHeight="12.75" x14ac:dyDescent="0.2"/>
  <cols>
    <col min="1" max="1" width="1" style="38" customWidth="1"/>
    <col min="2" max="2" width="9.25" style="38" customWidth="1"/>
    <col min="3" max="3" width="47.375" style="38" customWidth="1"/>
    <col min="4" max="4" width="21.5" style="38" customWidth="1"/>
    <col min="5" max="243" width="9" style="38"/>
    <col min="244" max="244" width="1" style="38" customWidth="1"/>
    <col min="245" max="245" width="16.25" style="38" customWidth="1"/>
    <col min="246" max="246" width="18.625" style="38" customWidth="1"/>
    <col min="247" max="247" width="6" style="38" customWidth="1"/>
    <col min="248" max="248" width="15.875" style="38" customWidth="1"/>
    <col min="249" max="249" width="10.375" style="38" customWidth="1"/>
    <col min="250" max="250" width="32.125" style="38" customWidth="1"/>
    <col min="251" max="251" width="13.625" style="38" customWidth="1"/>
    <col min="252" max="252" width="7.125" style="38" customWidth="1"/>
    <col min="253" max="253" width="4.375" style="38" customWidth="1"/>
    <col min="254" max="256" width="9.375" style="38" customWidth="1"/>
    <col min="257" max="499" width="9" style="38"/>
    <col min="500" max="500" width="1" style="38" customWidth="1"/>
    <col min="501" max="501" width="16.25" style="38" customWidth="1"/>
    <col min="502" max="502" width="18.625" style="38" customWidth="1"/>
    <col min="503" max="503" width="6" style="38" customWidth="1"/>
    <col min="504" max="504" width="15.875" style="38" customWidth="1"/>
    <col min="505" max="505" width="10.375" style="38" customWidth="1"/>
    <col min="506" max="506" width="32.125" style="38" customWidth="1"/>
    <col min="507" max="507" width="13.625" style="38" customWidth="1"/>
    <col min="508" max="508" width="7.125" style="38" customWidth="1"/>
    <col min="509" max="509" width="4.375" style="38" customWidth="1"/>
    <col min="510" max="512" width="9.375" style="38" customWidth="1"/>
    <col min="513" max="755" width="9" style="38"/>
    <col min="756" max="756" width="1" style="38" customWidth="1"/>
    <col min="757" max="757" width="16.25" style="38" customWidth="1"/>
    <col min="758" max="758" width="18.625" style="38" customWidth="1"/>
    <col min="759" max="759" width="6" style="38" customWidth="1"/>
    <col min="760" max="760" width="15.875" style="38" customWidth="1"/>
    <col min="761" max="761" width="10.375" style="38" customWidth="1"/>
    <col min="762" max="762" width="32.125" style="38" customWidth="1"/>
    <col min="763" max="763" width="13.625" style="38" customWidth="1"/>
    <col min="764" max="764" width="7.125" style="38" customWidth="1"/>
    <col min="765" max="765" width="4.375" style="38" customWidth="1"/>
    <col min="766" max="768" width="9.375" style="38" customWidth="1"/>
    <col min="769" max="1011" width="9" style="38"/>
    <col min="1012" max="1012" width="1" style="38" customWidth="1"/>
    <col min="1013" max="1013" width="16.25" style="38" customWidth="1"/>
    <col min="1014" max="1014" width="18.625" style="38" customWidth="1"/>
    <col min="1015" max="1015" width="6" style="38" customWidth="1"/>
    <col min="1016" max="1016" width="15.875" style="38" customWidth="1"/>
    <col min="1017" max="1017" width="10.375" style="38" customWidth="1"/>
    <col min="1018" max="1018" width="32.125" style="38" customWidth="1"/>
    <col min="1019" max="1019" width="13.625" style="38" customWidth="1"/>
    <col min="1020" max="1020" width="7.125" style="38" customWidth="1"/>
    <col min="1021" max="1021" width="4.375" style="38" customWidth="1"/>
    <col min="1022" max="1024" width="9.375" style="38" customWidth="1"/>
    <col min="1025" max="1267" width="9" style="38"/>
    <col min="1268" max="1268" width="1" style="38" customWidth="1"/>
    <col min="1269" max="1269" width="16.25" style="38" customWidth="1"/>
    <col min="1270" max="1270" width="18.625" style="38" customWidth="1"/>
    <col min="1271" max="1271" width="6" style="38" customWidth="1"/>
    <col min="1272" max="1272" width="15.875" style="38" customWidth="1"/>
    <col min="1273" max="1273" width="10.375" style="38" customWidth="1"/>
    <col min="1274" max="1274" width="32.125" style="38" customWidth="1"/>
    <col min="1275" max="1275" width="13.625" style="38" customWidth="1"/>
    <col min="1276" max="1276" width="7.125" style="38" customWidth="1"/>
    <col min="1277" max="1277" width="4.375" style="38" customWidth="1"/>
    <col min="1278" max="1280" width="9.375" style="38" customWidth="1"/>
    <col min="1281" max="1523" width="9" style="38"/>
    <col min="1524" max="1524" width="1" style="38" customWidth="1"/>
    <col min="1525" max="1525" width="16.25" style="38" customWidth="1"/>
    <col min="1526" max="1526" width="18.625" style="38" customWidth="1"/>
    <col min="1527" max="1527" width="6" style="38" customWidth="1"/>
    <col min="1528" max="1528" width="15.875" style="38" customWidth="1"/>
    <col min="1529" max="1529" width="10.375" style="38" customWidth="1"/>
    <col min="1530" max="1530" width="32.125" style="38" customWidth="1"/>
    <col min="1531" max="1531" width="13.625" style="38" customWidth="1"/>
    <col min="1532" max="1532" width="7.125" style="38" customWidth="1"/>
    <col min="1533" max="1533" width="4.375" style="38" customWidth="1"/>
    <col min="1534" max="1536" width="9.375" style="38" customWidth="1"/>
    <col min="1537" max="1779" width="9" style="38"/>
    <col min="1780" max="1780" width="1" style="38" customWidth="1"/>
    <col min="1781" max="1781" width="16.25" style="38" customWidth="1"/>
    <col min="1782" max="1782" width="18.625" style="38" customWidth="1"/>
    <col min="1783" max="1783" width="6" style="38" customWidth="1"/>
    <col min="1784" max="1784" width="15.875" style="38" customWidth="1"/>
    <col min="1785" max="1785" width="10.375" style="38" customWidth="1"/>
    <col min="1786" max="1786" width="32.125" style="38" customWidth="1"/>
    <col min="1787" max="1787" width="13.625" style="38" customWidth="1"/>
    <col min="1788" max="1788" width="7.125" style="38" customWidth="1"/>
    <col min="1789" max="1789" width="4.375" style="38" customWidth="1"/>
    <col min="1790" max="1792" width="9.375" style="38" customWidth="1"/>
    <col min="1793" max="2035" width="9" style="38"/>
    <col min="2036" max="2036" width="1" style="38" customWidth="1"/>
    <col min="2037" max="2037" width="16.25" style="38" customWidth="1"/>
    <col min="2038" max="2038" width="18.625" style="38" customWidth="1"/>
    <col min="2039" max="2039" width="6" style="38" customWidth="1"/>
    <col min="2040" max="2040" width="15.875" style="38" customWidth="1"/>
    <col min="2041" max="2041" width="10.375" style="38" customWidth="1"/>
    <col min="2042" max="2042" width="32.125" style="38" customWidth="1"/>
    <col min="2043" max="2043" width="13.625" style="38" customWidth="1"/>
    <col min="2044" max="2044" width="7.125" style="38" customWidth="1"/>
    <col min="2045" max="2045" width="4.375" style="38" customWidth="1"/>
    <col min="2046" max="2048" width="9.375" style="38" customWidth="1"/>
    <col min="2049" max="2291" width="9" style="38"/>
    <col min="2292" max="2292" width="1" style="38" customWidth="1"/>
    <col min="2293" max="2293" width="16.25" style="38" customWidth="1"/>
    <col min="2294" max="2294" width="18.625" style="38" customWidth="1"/>
    <col min="2295" max="2295" width="6" style="38" customWidth="1"/>
    <col min="2296" max="2296" width="15.875" style="38" customWidth="1"/>
    <col min="2297" max="2297" width="10.375" style="38" customWidth="1"/>
    <col min="2298" max="2298" width="32.125" style="38" customWidth="1"/>
    <col min="2299" max="2299" width="13.625" style="38" customWidth="1"/>
    <col min="2300" max="2300" width="7.125" style="38" customWidth="1"/>
    <col min="2301" max="2301" width="4.375" style="38" customWidth="1"/>
    <col min="2302" max="2304" width="9.375" style="38" customWidth="1"/>
    <col min="2305" max="2547" width="9" style="38"/>
    <col min="2548" max="2548" width="1" style="38" customWidth="1"/>
    <col min="2549" max="2549" width="16.25" style="38" customWidth="1"/>
    <col min="2550" max="2550" width="18.625" style="38" customWidth="1"/>
    <col min="2551" max="2551" width="6" style="38" customWidth="1"/>
    <col min="2552" max="2552" width="15.875" style="38" customWidth="1"/>
    <col min="2553" max="2553" width="10.375" style="38" customWidth="1"/>
    <col min="2554" max="2554" width="32.125" style="38" customWidth="1"/>
    <col min="2555" max="2555" width="13.625" style="38" customWidth="1"/>
    <col min="2556" max="2556" width="7.125" style="38" customWidth="1"/>
    <col min="2557" max="2557" width="4.375" style="38" customWidth="1"/>
    <col min="2558" max="2560" width="9.375" style="38" customWidth="1"/>
    <col min="2561" max="2803" width="9" style="38"/>
    <col min="2804" max="2804" width="1" style="38" customWidth="1"/>
    <col min="2805" max="2805" width="16.25" style="38" customWidth="1"/>
    <col min="2806" max="2806" width="18.625" style="38" customWidth="1"/>
    <col min="2807" max="2807" width="6" style="38" customWidth="1"/>
    <col min="2808" max="2808" width="15.875" style="38" customWidth="1"/>
    <col min="2809" max="2809" width="10.375" style="38" customWidth="1"/>
    <col min="2810" max="2810" width="32.125" style="38" customWidth="1"/>
    <col min="2811" max="2811" width="13.625" style="38" customWidth="1"/>
    <col min="2812" max="2812" width="7.125" style="38" customWidth="1"/>
    <col min="2813" max="2813" width="4.375" style="38" customWidth="1"/>
    <col min="2814" max="2816" width="9.375" style="38" customWidth="1"/>
    <col min="2817" max="3059" width="9" style="38"/>
    <col min="3060" max="3060" width="1" style="38" customWidth="1"/>
    <col min="3061" max="3061" width="16.25" style="38" customWidth="1"/>
    <col min="3062" max="3062" width="18.625" style="38" customWidth="1"/>
    <col min="3063" max="3063" width="6" style="38" customWidth="1"/>
    <col min="3064" max="3064" width="15.875" style="38" customWidth="1"/>
    <col min="3065" max="3065" width="10.375" style="38" customWidth="1"/>
    <col min="3066" max="3066" width="32.125" style="38" customWidth="1"/>
    <col min="3067" max="3067" width="13.625" style="38" customWidth="1"/>
    <col min="3068" max="3068" width="7.125" style="38" customWidth="1"/>
    <col min="3069" max="3069" width="4.375" style="38" customWidth="1"/>
    <col min="3070" max="3072" width="9.375" style="38" customWidth="1"/>
    <col min="3073" max="3315" width="9" style="38"/>
    <col min="3316" max="3316" width="1" style="38" customWidth="1"/>
    <col min="3317" max="3317" width="16.25" style="38" customWidth="1"/>
    <col min="3318" max="3318" width="18.625" style="38" customWidth="1"/>
    <col min="3319" max="3319" width="6" style="38" customWidth="1"/>
    <col min="3320" max="3320" width="15.875" style="38" customWidth="1"/>
    <col min="3321" max="3321" width="10.375" style="38" customWidth="1"/>
    <col min="3322" max="3322" width="32.125" style="38" customWidth="1"/>
    <col min="3323" max="3323" width="13.625" style="38" customWidth="1"/>
    <col min="3324" max="3324" width="7.125" style="38" customWidth="1"/>
    <col min="3325" max="3325" width="4.375" style="38" customWidth="1"/>
    <col min="3326" max="3328" width="9.375" style="38" customWidth="1"/>
    <col min="3329" max="3571" width="9" style="38"/>
    <col min="3572" max="3572" width="1" style="38" customWidth="1"/>
    <col min="3573" max="3573" width="16.25" style="38" customWidth="1"/>
    <col min="3574" max="3574" width="18.625" style="38" customWidth="1"/>
    <col min="3575" max="3575" width="6" style="38" customWidth="1"/>
    <col min="3576" max="3576" width="15.875" style="38" customWidth="1"/>
    <col min="3577" max="3577" width="10.375" style="38" customWidth="1"/>
    <col min="3578" max="3578" width="32.125" style="38" customWidth="1"/>
    <col min="3579" max="3579" width="13.625" style="38" customWidth="1"/>
    <col min="3580" max="3580" width="7.125" style="38" customWidth="1"/>
    <col min="3581" max="3581" width="4.375" style="38" customWidth="1"/>
    <col min="3582" max="3584" width="9.375" style="38" customWidth="1"/>
    <col min="3585" max="3827" width="9" style="38"/>
    <col min="3828" max="3828" width="1" style="38" customWidth="1"/>
    <col min="3829" max="3829" width="16.25" style="38" customWidth="1"/>
    <col min="3830" max="3830" width="18.625" style="38" customWidth="1"/>
    <col min="3831" max="3831" width="6" style="38" customWidth="1"/>
    <col min="3832" max="3832" width="15.875" style="38" customWidth="1"/>
    <col min="3833" max="3833" width="10.375" style="38" customWidth="1"/>
    <col min="3834" max="3834" width="32.125" style="38" customWidth="1"/>
    <col min="3835" max="3835" width="13.625" style="38" customWidth="1"/>
    <col min="3836" max="3836" width="7.125" style="38" customWidth="1"/>
    <col min="3837" max="3837" width="4.375" style="38" customWidth="1"/>
    <col min="3838" max="3840" width="9.375" style="38" customWidth="1"/>
    <col min="3841" max="4083" width="9" style="38"/>
    <col min="4084" max="4084" width="1" style="38" customWidth="1"/>
    <col min="4085" max="4085" width="16.25" style="38" customWidth="1"/>
    <col min="4086" max="4086" width="18.625" style="38" customWidth="1"/>
    <col min="4087" max="4087" width="6" style="38" customWidth="1"/>
    <col min="4088" max="4088" width="15.875" style="38" customWidth="1"/>
    <col min="4089" max="4089" width="10.375" style="38" customWidth="1"/>
    <col min="4090" max="4090" width="32.125" style="38" customWidth="1"/>
    <col min="4091" max="4091" width="13.625" style="38" customWidth="1"/>
    <col min="4092" max="4092" width="7.125" style="38" customWidth="1"/>
    <col min="4093" max="4093" width="4.375" style="38" customWidth="1"/>
    <col min="4094" max="4096" width="9.375" style="38" customWidth="1"/>
    <col min="4097" max="4339" width="9" style="38"/>
    <col min="4340" max="4340" width="1" style="38" customWidth="1"/>
    <col min="4341" max="4341" width="16.25" style="38" customWidth="1"/>
    <col min="4342" max="4342" width="18.625" style="38" customWidth="1"/>
    <col min="4343" max="4343" width="6" style="38" customWidth="1"/>
    <col min="4344" max="4344" width="15.875" style="38" customWidth="1"/>
    <col min="4345" max="4345" width="10.375" style="38" customWidth="1"/>
    <col min="4346" max="4346" width="32.125" style="38" customWidth="1"/>
    <col min="4347" max="4347" width="13.625" style="38" customWidth="1"/>
    <col min="4348" max="4348" width="7.125" style="38" customWidth="1"/>
    <col min="4349" max="4349" width="4.375" style="38" customWidth="1"/>
    <col min="4350" max="4352" width="9.375" style="38" customWidth="1"/>
    <col min="4353" max="4595" width="9" style="38"/>
    <col min="4596" max="4596" width="1" style="38" customWidth="1"/>
    <col min="4597" max="4597" width="16.25" style="38" customWidth="1"/>
    <col min="4598" max="4598" width="18.625" style="38" customWidth="1"/>
    <col min="4599" max="4599" width="6" style="38" customWidth="1"/>
    <col min="4600" max="4600" width="15.875" style="38" customWidth="1"/>
    <col min="4601" max="4601" width="10.375" style="38" customWidth="1"/>
    <col min="4602" max="4602" width="32.125" style="38" customWidth="1"/>
    <col min="4603" max="4603" width="13.625" style="38" customWidth="1"/>
    <col min="4604" max="4604" width="7.125" style="38" customWidth="1"/>
    <col min="4605" max="4605" width="4.375" style="38" customWidth="1"/>
    <col min="4606" max="4608" width="9.375" style="38" customWidth="1"/>
    <col min="4609" max="4851" width="9" style="38"/>
    <col min="4852" max="4852" width="1" style="38" customWidth="1"/>
    <col min="4853" max="4853" width="16.25" style="38" customWidth="1"/>
    <col min="4854" max="4854" width="18.625" style="38" customWidth="1"/>
    <col min="4855" max="4855" width="6" style="38" customWidth="1"/>
    <col min="4856" max="4856" width="15.875" style="38" customWidth="1"/>
    <col min="4857" max="4857" width="10.375" style="38" customWidth="1"/>
    <col min="4858" max="4858" width="32.125" style="38" customWidth="1"/>
    <col min="4859" max="4859" width="13.625" style="38" customWidth="1"/>
    <col min="4860" max="4860" width="7.125" style="38" customWidth="1"/>
    <col min="4861" max="4861" width="4.375" style="38" customWidth="1"/>
    <col min="4862" max="4864" width="9.375" style="38" customWidth="1"/>
    <col min="4865" max="5107" width="9" style="38"/>
    <col min="5108" max="5108" width="1" style="38" customWidth="1"/>
    <col min="5109" max="5109" width="16.25" style="38" customWidth="1"/>
    <col min="5110" max="5110" width="18.625" style="38" customWidth="1"/>
    <col min="5111" max="5111" width="6" style="38" customWidth="1"/>
    <col min="5112" max="5112" width="15.875" style="38" customWidth="1"/>
    <col min="5113" max="5113" width="10.375" style="38" customWidth="1"/>
    <col min="5114" max="5114" width="32.125" style="38" customWidth="1"/>
    <col min="5115" max="5115" width="13.625" style="38" customWidth="1"/>
    <col min="5116" max="5116" width="7.125" style="38" customWidth="1"/>
    <col min="5117" max="5117" width="4.375" style="38" customWidth="1"/>
    <col min="5118" max="5120" width="9.375" style="38" customWidth="1"/>
    <col min="5121" max="5363" width="9" style="38"/>
    <col min="5364" max="5364" width="1" style="38" customWidth="1"/>
    <col min="5365" max="5365" width="16.25" style="38" customWidth="1"/>
    <col min="5366" max="5366" width="18.625" style="38" customWidth="1"/>
    <col min="5367" max="5367" width="6" style="38" customWidth="1"/>
    <col min="5368" max="5368" width="15.875" style="38" customWidth="1"/>
    <col min="5369" max="5369" width="10.375" style="38" customWidth="1"/>
    <col min="5370" max="5370" width="32.125" style="38" customWidth="1"/>
    <col min="5371" max="5371" width="13.625" style="38" customWidth="1"/>
    <col min="5372" max="5372" width="7.125" style="38" customWidth="1"/>
    <col min="5373" max="5373" width="4.375" style="38" customWidth="1"/>
    <col min="5374" max="5376" width="9.375" style="38" customWidth="1"/>
    <col min="5377" max="5619" width="9" style="38"/>
    <col min="5620" max="5620" width="1" style="38" customWidth="1"/>
    <col min="5621" max="5621" width="16.25" style="38" customWidth="1"/>
    <col min="5622" max="5622" width="18.625" style="38" customWidth="1"/>
    <col min="5623" max="5623" width="6" style="38" customWidth="1"/>
    <col min="5624" max="5624" width="15.875" style="38" customWidth="1"/>
    <col min="5625" max="5625" width="10.375" style="38" customWidth="1"/>
    <col min="5626" max="5626" width="32.125" style="38" customWidth="1"/>
    <col min="5627" max="5627" width="13.625" style="38" customWidth="1"/>
    <col min="5628" max="5628" width="7.125" style="38" customWidth="1"/>
    <col min="5629" max="5629" width="4.375" style="38" customWidth="1"/>
    <col min="5630" max="5632" width="9.375" style="38" customWidth="1"/>
    <col min="5633" max="5875" width="9" style="38"/>
    <col min="5876" max="5876" width="1" style="38" customWidth="1"/>
    <col min="5877" max="5877" width="16.25" style="38" customWidth="1"/>
    <col min="5878" max="5878" width="18.625" style="38" customWidth="1"/>
    <col min="5879" max="5879" width="6" style="38" customWidth="1"/>
    <col min="5880" max="5880" width="15.875" style="38" customWidth="1"/>
    <col min="5881" max="5881" width="10.375" style="38" customWidth="1"/>
    <col min="5882" max="5882" width="32.125" style="38" customWidth="1"/>
    <col min="5883" max="5883" width="13.625" style="38" customWidth="1"/>
    <col min="5884" max="5884" width="7.125" style="38" customWidth="1"/>
    <col min="5885" max="5885" width="4.375" style="38" customWidth="1"/>
    <col min="5886" max="5888" width="9.375" style="38" customWidth="1"/>
    <col min="5889" max="6131" width="9" style="38"/>
    <col min="6132" max="6132" width="1" style="38" customWidth="1"/>
    <col min="6133" max="6133" width="16.25" style="38" customWidth="1"/>
    <col min="6134" max="6134" width="18.625" style="38" customWidth="1"/>
    <col min="6135" max="6135" width="6" style="38" customWidth="1"/>
    <col min="6136" max="6136" width="15.875" style="38" customWidth="1"/>
    <col min="6137" max="6137" width="10.375" style="38" customWidth="1"/>
    <col min="6138" max="6138" width="32.125" style="38" customWidth="1"/>
    <col min="6139" max="6139" width="13.625" style="38" customWidth="1"/>
    <col min="6140" max="6140" width="7.125" style="38" customWidth="1"/>
    <col min="6141" max="6141" width="4.375" style="38" customWidth="1"/>
    <col min="6142" max="6144" width="9.375" style="38" customWidth="1"/>
    <col min="6145" max="6387" width="9" style="38"/>
    <col min="6388" max="6388" width="1" style="38" customWidth="1"/>
    <col min="6389" max="6389" width="16.25" style="38" customWidth="1"/>
    <col min="6390" max="6390" width="18.625" style="38" customWidth="1"/>
    <col min="6391" max="6391" width="6" style="38" customWidth="1"/>
    <col min="6392" max="6392" width="15.875" style="38" customWidth="1"/>
    <col min="6393" max="6393" width="10.375" style="38" customWidth="1"/>
    <col min="6394" max="6394" width="32.125" style="38" customWidth="1"/>
    <col min="6395" max="6395" width="13.625" style="38" customWidth="1"/>
    <col min="6396" max="6396" width="7.125" style="38" customWidth="1"/>
    <col min="6397" max="6397" width="4.375" style="38" customWidth="1"/>
    <col min="6398" max="6400" width="9.375" style="38" customWidth="1"/>
    <col min="6401" max="6643" width="9" style="38"/>
    <col min="6644" max="6644" width="1" style="38" customWidth="1"/>
    <col min="6645" max="6645" width="16.25" style="38" customWidth="1"/>
    <col min="6646" max="6646" width="18.625" style="38" customWidth="1"/>
    <col min="6647" max="6647" width="6" style="38" customWidth="1"/>
    <col min="6648" max="6648" width="15.875" style="38" customWidth="1"/>
    <col min="6649" max="6649" width="10.375" style="38" customWidth="1"/>
    <col min="6650" max="6650" width="32.125" style="38" customWidth="1"/>
    <col min="6651" max="6651" width="13.625" style="38" customWidth="1"/>
    <col min="6652" max="6652" width="7.125" style="38" customWidth="1"/>
    <col min="6653" max="6653" width="4.375" style="38" customWidth="1"/>
    <col min="6654" max="6656" width="9.375" style="38" customWidth="1"/>
    <col min="6657" max="6899" width="9" style="38"/>
    <col min="6900" max="6900" width="1" style="38" customWidth="1"/>
    <col min="6901" max="6901" width="16.25" style="38" customWidth="1"/>
    <col min="6902" max="6902" width="18.625" style="38" customWidth="1"/>
    <col min="6903" max="6903" width="6" style="38" customWidth="1"/>
    <col min="6904" max="6904" width="15.875" style="38" customWidth="1"/>
    <col min="6905" max="6905" width="10.375" style="38" customWidth="1"/>
    <col min="6906" max="6906" width="32.125" style="38" customWidth="1"/>
    <col min="6907" max="6907" width="13.625" style="38" customWidth="1"/>
    <col min="6908" max="6908" width="7.125" style="38" customWidth="1"/>
    <col min="6909" max="6909" width="4.375" style="38" customWidth="1"/>
    <col min="6910" max="6912" width="9.375" style="38" customWidth="1"/>
    <col min="6913" max="7155" width="9" style="38"/>
    <col min="7156" max="7156" width="1" style="38" customWidth="1"/>
    <col min="7157" max="7157" width="16.25" style="38" customWidth="1"/>
    <col min="7158" max="7158" width="18.625" style="38" customWidth="1"/>
    <col min="7159" max="7159" width="6" style="38" customWidth="1"/>
    <col min="7160" max="7160" width="15.875" style="38" customWidth="1"/>
    <col min="7161" max="7161" width="10.375" style="38" customWidth="1"/>
    <col min="7162" max="7162" width="32.125" style="38" customWidth="1"/>
    <col min="7163" max="7163" width="13.625" style="38" customWidth="1"/>
    <col min="7164" max="7164" width="7.125" style="38" customWidth="1"/>
    <col min="7165" max="7165" width="4.375" style="38" customWidth="1"/>
    <col min="7166" max="7168" width="9.375" style="38" customWidth="1"/>
    <col min="7169" max="7411" width="9" style="38"/>
    <col min="7412" max="7412" width="1" style="38" customWidth="1"/>
    <col min="7413" max="7413" width="16.25" style="38" customWidth="1"/>
    <col min="7414" max="7414" width="18.625" style="38" customWidth="1"/>
    <col min="7415" max="7415" width="6" style="38" customWidth="1"/>
    <col min="7416" max="7416" width="15.875" style="38" customWidth="1"/>
    <col min="7417" max="7417" width="10.375" style="38" customWidth="1"/>
    <col min="7418" max="7418" width="32.125" style="38" customWidth="1"/>
    <col min="7419" max="7419" width="13.625" style="38" customWidth="1"/>
    <col min="7420" max="7420" width="7.125" style="38" customWidth="1"/>
    <col min="7421" max="7421" width="4.375" style="38" customWidth="1"/>
    <col min="7422" max="7424" width="9.375" style="38" customWidth="1"/>
    <col min="7425" max="7667" width="9" style="38"/>
    <col min="7668" max="7668" width="1" style="38" customWidth="1"/>
    <col min="7669" max="7669" width="16.25" style="38" customWidth="1"/>
    <col min="7670" max="7670" width="18.625" style="38" customWidth="1"/>
    <col min="7671" max="7671" width="6" style="38" customWidth="1"/>
    <col min="7672" max="7672" width="15.875" style="38" customWidth="1"/>
    <col min="7673" max="7673" width="10.375" style="38" customWidth="1"/>
    <col min="7674" max="7674" width="32.125" style="38" customWidth="1"/>
    <col min="7675" max="7675" width="13.625" style="38" customWidth="1"/>
    <col min="7676" max="7676" width="7.125" style="38" customWidth="1"/>
    <col min="7677" max="7677" width="4.375" style="38" customWidth="1"/>
    <col min="7678" max="7680" width="9.375" style="38" customWidth="1"/>
    <col min="7681" max="7923" width="9" style="38"/>
    <col min="7924" max="7924" width="1" style="38" customWidth="1"/>
    <col min="7925" max="7925" width="16.25" style="38" customWidth="1"/>
    <col min="7926" max="7926" width="18.625" style="38" customWidth="1"/>
    <col min="7927" max="7927" width="6" style="38" customWidth="1"/>
    <col min="7928" max="7928" width="15.875" style="38" customWidth="1"/>
    <col min="7929" max="7929" width="10.375" style="38" customWidth="1"/>
    <col min="7930" max="7930" width="32.125" style="38" customWidth="1"/>
    <col min="7931" max="7931" width="13.625" style="38" customWidth="1"/>
    <col min="7932" max="7932" width="7.125" style="38" customWidth="1"/>
    <col min="7933" max="7933" width="4.375" style="38" customWidth="1"/>
    <col min="7934" max="7936" width="9.375" style="38" customWidth="1"/>
    <col min="7937" max="8179" width="9" style="38"/>
    <col min="8180" max="8180" width="1" style="38" customWidth="1"/>
    <col min="8181" max="8181" width="16.25" style="38" customWidth="1"/>
    <col min="8182" max="8182" width="18.625" style="38" customWidth="1"/>
    <col min="8183" max="8183" width="6" style="38" customWidth="1"/>
    <col min="8184" max="8184" width="15.875" style="38" customWidth="1"/>
    <col min="8185" max="8185" width="10.375" style="38" customWidth="1"/>
    <col min="8186" max="8186" width="32.125" style="38" customWidth="1"/>
    <col min="8187" max="8187" width="13.625" style="38" customWidth="1"/>
    <col min="8188" max="8188" width="7.125" style="38" customWidth="1"/>
    <col min="8189" max="8189" width="4.375" style="38" customWidth="1"/>
    <col min="8190" max="8192" width="9.375" style="38" customWidth="1"/>
    <col min="8193" max="8435" width="9" style="38"/>
    <col min="8436" max="8436" width="1" style="38" customWidth="1"/>
    <col min="8437" max="8437" width="16.25" style="38" customWidth="1"/>
    <col min="8438" max="8438" width="18.625" style="38" customWidth="1"/>
    <col min="8439" max="8439" width="6" style="38" customWidth="1"/>
    <col min="8440" max="8440" width="15.875" style="38" customWidth="1"/>
    <col min="8441" max="8441" width="10.375" style="38" customWidth="1"/>
    <col min="8442" max="8442" width="32.125" style="38" customWidth="1"/>
    <col min="8443" max="8443" width="13.625" style="38" customWidth="1"/>
    <col min="8444" max="8444" width="7.125" style="38" customWidth="1"/>
    <col min="8445" max="8445" width="4.375" style="38" customWidth="1"/>
    <col min="8446" max="8448" width="9.375" style="38" customWidth="1"/>
    <col min="8449" max="8691" width="9" style="38"/>
    <col min="8692" max="8692" width="1" style="38" customWidth="1"/>
    <col min="8693" max="8693" width="16.25" style="38" customWidth="1"/>
    <col min="8694" max="8694" width="18.625" style="38" customWidth="1"/>
    <col min="8695" max="8695" width="6" style="38" customWidth="1"/>
    <col min="8696" max="8696" width="15.875" style="38" customWidth="1"/>
    <col min="8697" max="8697" width="10.375" style="38" customWidth="1"/>
    <col min="8698" max="8698" width="32.125" style="38" customWidth="1"/>
    <col min="8699" max="8699" width="13.625" style="38" customWidth="1"/>
    <col min="8700" max="8700" width="7.125" style="38" customWidth="1"/>
    <col min="8701" max="8701" width="4.375" style="38" customWidth="1"/>
    <col min="8702" max="8704" width="9.375" style="38" customWidth="1"/>
    <col min="8705" max="8947" width="9" style="38"/>
    <col min="8948" max="8948" width="1" style="38" customWidth="1"/>
    <col min="8949" max="8949" width="16.25" style="38" customWidth="1"/>
    <col min="8950" max="8950" width="18.625" style="38" customWidth="1"/>
    <col min="8951" max="8951" width="6" style="38" customWidth="1"/>
    <col min="8952" max="8952" width="15.875" style="38" customWidth="1"/>
    <col min="8953" max="8953" width="10.375" style="38" customWidth="1"/>
    <col min="8954" max="8954" width="32.125" style="38" customWidth="1"/>
    <col min="8955" max="8955" width="13.625" style="38" customWidth="1"/>
    <col min="8956" max="8956" width="7.125" style="38" customWidth="1"/>
    <col min="8957" max="8957" width="4.375" style="38" customWidth="1"/>
    <col min="8958" max="8960" width="9.375" style="38" customWidth="1"/>
    <col min="8961" max="9203" width="9" style="38"/>
    <col min="9204" max="9204" width="1" style="38" customWidth="1"/>
    <col min="9205" max="9205" width="16.25" style="38" customWidth="1"/>
    <col min="9206" max="9206" width="18.625" style="38" customWidth="1"/>
    <col min="9207" max="9207" width="6" style="38" customWidth="1"/>
    <col min="9208" max="9208" width="15.875" style="38" customWidth="1"/>
    <col min="9209" max="9209" width="10.375" style="38" customWidth="1"/>
    <col min="9210" max="9210" width="32.125" style="38" customWidth="1"/>
    <col min="9211" max="9211" width="13.625" style="38" customWidth="1"/>
    <col min="9212" max="9212" width="7.125" style="38" customWidth="1"/>
    <col min="9213" max="9213" width="4.375" style="38" customWidth="1"/>
    <col min="9214" max="9216" width="9.375" style="38" customWidth="1"/>
    <col min="9217" max="9459" width="9" style="38"/>
    <col min="9460" max="9460" width="1" style="38" customWidth="1"/>
    <col min="9461" max="9461" width="16.25" style="38" customWidth="1"/>
    <col min="9462" max="9462" width="18.625" style="38" customWidth="1"/>
    <col min="9463" max="9463" width="6" style="38" customWidth="1"/>
    <col min="9464" max="9464" width="15.875" style="38" customWidth="1"/>
    <col min="9465" max="9465" width="10.375" style="38" customWidth="1"/>
    <col min="9466" max="9466" width="32.125" style="38" customWidth="1"/>
    <col min="9467" max="9467" width="13.625" style="38" customWidth="1"/>
    <col min="9468" max="9468" width="7.125" style="38" customWidth="1"/>
    <col min="9469" max="9469" width="4.375" style="38" customWidth="1"/>
    <col min="9470" max="9472" width="9.375" style="38" customWidth="1"/>
    <col min="9473" max="9715" width="9" style="38"/>
    <col min="9716" max="9716" width="1" style="38" customWidth="1"/>
    <col min="9717" max="9717" width="16.25" style="38" customWidth="1"/>
    <col min="9718" max="9718" width="18.625" style="38" customWidth="1"/>
    <col min="9719" max="9719" width="6" style="38" customWidth="1"/>
    <col min="9720" max="9720" width="15.875" style="38" customWidth="1"/>
    <col min="9721" max="9721" width="10.375" style="38" customWidth="1"/>
    <col min="9722" max="9722" width="32.125" style="38" customWidth="1"/>
    <col min="9723" max="9723" width="13.625" style="38" customWidth="1"/>
    <col min="9724" max="9724" width="7.125" style="38" customWidth="1"/>
    <col min="9725" max="9725" width="4.375" style="38" customWidth="1"/>
    <col min="9726" max="9728" width="9.375" style="38" customWidth="1"/>
    <col min="9729" max="9971" width="9" style="38"/>
    <col min="9972" max="9972" width="1" style="38" customWidth="1"/>
    <col min="9973" max="9973" width="16.25" style="38" customWidth="1"/>
    <col min="9974" max="9974" width="18.625" style="38" customWidth="1"/>
    <col min="9975" max="9975" width="6" style="38" customWidth="1"/>
    <col min="9976" max="9976" width="15.875" style="38" customWidth="1"/>
    <col min="9977" max="9977" width="10.375" style="38" customWidth="1"/>
    <col min="9978" max="9978" width="32.125" style="38" customWidth="1"/>
    <col min="9979" max="9979" width="13.625" style="38" customWidth="1"/>
    <col min="9980" max="9980" width="7.125" style="38" customWidth="1"/>
    <col min="9981" max="9981" width="4.375" style="38" customWidth="1"/>
    <col min="9982" max="9984" width="9.375" style="38" customWidth="1"/>
    <col min="9985" max="10227" width="9" style="38"/>
    <col min="10228" max="10228" width="1" style="38" customWidth="1"/>
    <col min="10229" max="10229" width="16.25" style="38" customWidth="1"/>
    <col min="10230" max="10230" width="18.625" style="38" customWidth="1"/>
    <col min="10231" max="10231" width="6" style="38" customWidth="1"/>
    <col min="10232" max="10232" width="15.875" style="38" customWidth="1"/>
    <col min="10233" max="10233" width="10.375" style="38" customWidth="1"/>
    <col min="10234" max="10234" width="32.125" style="38" customWidth="1"/>
    <col min="10235" max="10235" width="13.625" style="38" customWidth="1"/>
    <col min="10236" max="10236" width="7.125" style="38" customWidth="1"/>
    <col min="10237" max="10237" width="4.375" style="38" customWidth="1"/>
    <col min="10238" max="10240" width="9.375" style="38" customWidth="1"/>
    <col min="10241" max="10483" width="9" style="38"/>
    <col min="10484" max="10484" width="1" style="38" customWidth="1"/>
    <col min="10485" max="10485" width="16.25" style="38" customWidth="1"/>
    <col min="10486" max="10486" width="18.625" style="38" customWidth="1"/>
    <col min="10487" max="10487" width="6" style="38" customWidth="1"/>
    <col min="10488" max="10488" width="15.875" style="38" customWidth="1"/>
    <col min="10489" max="10489" width="10.375" style="38" customWidth="1"/>
    <col min="10490" max="10490" width="32.125" style="38" customWidth="1"/>
    <col min="10491" max="10491" width="13.625" style="38" customWidth="1"/>
    <col min="10492" max="10492" width="7.125" style="38" customWidth="1"/>
    <col min="10493" max="10493" width="4.375" style="38" customWidth="1"/>
    <col min="10494" max="10496" width="9.375" style="38" customWidth="1"/>
    <col min="10497" max="10739" width="9" style="38"/>
    <col min="10740" max="10740" width="1" style="38" customWidth="1"/>
    <col min="10741" max="10741" width="16.25" style="38" customWidth="1"/>
    <col min="10742" max="10742" width="18.625" style="38" customWidth="1"/>
    <col min="10743" max="10743" width="6" style="38" customWidth="1"/>
    <col min="10744" max="10744" width="15.875" style="38" customWidth="1"/>
    <col min="10745" max="10745" width="10.375" style="38" customWidth="1"/>
    <col min="10746" max="10746" width="32.125" style="38" customWidth="1"/>
    <col min="10747" max="10747" width="13.625" style="38" customWidth="1"/>
    <col min="10748" max="10748" width="7.125" style="38" customWidth="1"/>
    <col min="10749" max="10749" width="4.375" style="38" customWidth="1"/>
    <col min="10750" max="10752" width="9.375" style="38" customWidth="1"/>
    <col min="10753" max="10995" width="9" style="38"/>
    <col min="10996" max="10996" width="1" style="38" customWidth="1"/>
    <col min="10997" max="10997" width="16.25" style="38" customWidth="1"/>
    <col min="10998" max="10998" width="18.625" style="38" customWidth="1"/>
    <col min="10999" max="10999" width="6" style="38" customWidth="1"/>
    <col min="11000" max="11000" width="15.875" style="38" customWidth="1"/>
    <col min="11001" max="11001" width="10.375" style="38" customWidth="1"/>
    <col min="11002" max="11002" width="32.125" style="38" customWidth="1"/>
    <col min="11003" max="11003" width="13.625" style="38" customWidth="1"/>
    <col min="11004" max="11004" width="7.125" style="38" customWidth="1"/>
    <col min="11005" max="11005" width="4.375" style="38" customWidth="1"/>
    <col min="11006" max="11008" width="9.375" style="38" customWidth="1"/>
    <col min="11009" max="11251" width="9" style="38"/>
    <col min="11252" max="11252" width="1" style="38" customWidth="1"/>
    <col min="11253" max="11253" width="16.25" style="38" customWidth="1"/>
    <col min="11254" max="11254" width="18.625" style="38" customWidth="1"/>
    <col min="11255" max="11255" width="6" style="38" customWidth="1"/>
    <col min="11256" max="11256" width="15.875" style="38" customWidth="1"/>
    <col min="11257" max="11257" width="10.375" style="38" customWidth="1"/>
    <col min="11258" max="11258" width="32.125" style="38" customWidth="1"/>
    <col min="11259" max="11259" width="13.625" style="38" customWidth="1"/>
    <col min="11260" max="11260" width="7.125" style="38" customWidth="1"/>
    <col min="11261" max="11261" width="4.375" style="38" customWidth="1"/>
    <col min="11262" max="11264" width="9.375" style="38" customWidth="1"/>
    <col min="11265" max="11507" width="9" style="38"/>
    <col min="11508" max="11508" width="1" style="38" customWidth="1"/>
    <col min="11509" max="11509" width="16.25" style="38" customWidth="1"/>
    <col min="11510" max="11510" width="18.625" style="38" customWidth="1"/>
    <col min="11511" max="11511" width="6" style="38" customWidth="1"/>
    <col min="11512" max="11512" width="15.875" style="38" customWidth="1"/>
    <col min="11513" max="11513" width="10.375" style="38" customWidth="1"/>
    <col min="11514" max="11514" width="32.125" style="38" customWidth="1"/>
    <col min="11515" max="11515" width="13.625" style="38" customWidth="1"/>
    <col min="11516" max="11516" width="7.125" style="38" customWidth="1"/>
    <col min="11517" max="11517" width="4.375" style="38" customWidth="1"/>
    <col min="11518" max="11520" width="9.375" style="38" customWidth="1"/>
    <col min="11521" max="11763" width="9" style="38"/>
    <col min="11764" max="11764" width="1" style="38" customWidth="1"/>
    <col min="11765" max="11765" width="16.25" style="38" customWidth="1"/>
    <col min="11766" max="11766" width="18.625" style="38" customWidth="1"/>
    <col min="11767" max="11767" width="6" style="38" customWidth="1"/>
    <col min="11768" max="11768" width="15.875" style="38" customWidth="1"/>
    <col min="11769" max="11769" width="10.375" style="38" customWidth="1"/>
    <col min="11770" max="11770" width="32.125" style="38" customWidth="1"/>
    <col min="11771" max="11771" width="13.625" style="38" customWidth="1"/>
    <col min="11772" max="11772" width="7.125" style="38" customWidth="1"/>
    <col min="11773" max="11773" width="4.375" style="38" customWidth="1"/>
    <col min="11774" max="11776" width="9.375" style="38" customWidth="1"/>
    <col min="11777" max="12019" width="9" style="38"/>
    <col min="12020" max="12020" width="1" style="38" customWidth="1"/>
    <col min="12021" max="12021" width="16.25" style="38" customWidth="1"/>
    <col min="12022" max="12022" width="18.625" style="38" customWidth="1"/>
    <col min="12023" max="12023" width="6" style="38" customWidth="1"/>
    <col min="12024" max="12024" width="15.875" style="38" customWidth="1"/>
    <col min="12025" max="12025" width="10.375" style="38" customWidth="1"/>
    <col min="12026" max="12026" width="32.125" style="38" customWidth="1"/>
    <col min="12027" max="12027" width="13.625" style="38" customWidth="1"/>
    <col min="12028" max="12028" width="7.125" style="38" customWidth="1"/>
    <col min="12029" max="12029" width="4.375" style="38" customWidth="1"/>
    <col min="12030" max="12032" width="9.375" style="38" customWidth="1"/>
    <col min="12033" max="12275" width="9" style="38"/>
    <col min="12276" max="12276" width="1" style="38" customWidth="1"/>
    <col min="12277" max="12277" width="16.25" style="38" customWidth="1"/>
    <col min="12278" max="12278" width="18.625" style="38" customWidth="1"/>
    <col min="12279" max="12279" width="6" style="38" customWidth="1"/>
    <col min="12280" max="12280" width="15.875" style="38" customWidth="1"/>
    <col min="12281" max="12281" width="10.375" style="38" customWidth="1"/>
    <col min="12282" max="12282" width="32.125" style="38" customWidth="1"/>
    <col min="12283" max="12283" width="13.625" style="38" customWidth="1"/>
    <col min="12284" max="12284" width="7.125" style="38" customWidth="1"/>
    <col min="12285" max="12285" width="4.375" style="38" customWidth="1"/>
    <col min="12286" max="12288" width="9.375" style="38" customWidth="1"/>
    <col min="12289" max="12531" width="9" style="38"/>
    <col min="12532" max="12532" width="1" style="38" customWidth="1"/>
    <col min="12533" max="12533" width="16.25" style="38" customWidth="1"/>
    <col min="12534" max="12534" width="18.625" style="38" customWidth="1"/>
    <col min="12535" max="12535" width="6" style="38" customWidth="1"/>
    <col min="12536" max="12536" width="15.875" style="38" customWidth="1"/>
    <col min="12537" max="12537" width="10.375" style="38" customWidth="1"/>
    <col min="12538" max="12538" width="32.125" style="38" customWidth="1"/>
    <col min="12539" max="12539" width="13.625" style="38" customWidth="1"/>
    <col min="12540" max="12540" width="7.125" style="38" customWidth="1"/>
    <col min="12541" max="12541" width="4.375" style="38" customWidth="1"/>
    <col min="12542" max="12544" width="9.375" style="38" customWidth="1"/>
    <col min="12545" max="12787" width="9" style="38"/>
    <col min="12788" max="12788" width="1" style="38" customWidth="1"/>
    <col min="12789" max="12789" width="16.25" style="38" customWidth="1"/>
    <col min="12790" max="12790" width="18.625" style="38" customWidth="1"/>
    <col min="12791" max="12791" width="6" style="38" customWidth="1"/>
    <col min="12792" max="12792" width="15.875" style="38" customWidth="1"/>
    <col min="12793" max="12793" width="10.375" style="38" customWidth="1"/>
    <col min="12794" max="12794" width="32.125" style="38" customWidth="1"/>
    <col min="12795" max="12795" width="13.625" style="38" customWidth="1"/>
    <col min="12796" max="12796" width="7.125" style="38" customWidth="1"/>
    <col min="12797" max="12797" width="4.375" style="38" customWidth="1"/>
    <col min="12798" max="12800" width="9.375" style="38" customWidth="1"/>
    <col min="12801" max="13043" width="9" style="38"/>
    <col min="13044" max="13044" width="1" style="38" customWidth="1"/>
    <col min="13045" max="13045" width="16.25" style="38" customWidth="1"/>
    <col min="13046" max="13046" width="18.625" style="38" customWidth="1"/>
    <col min="13047" max="13047" width="6" style="38" customWidth="1"/>
    <col min="13048" max="13048" width="15.875" style="38" customWidth="1"/>
    <col min="13049" max="13049" width="10.375" style="38" customWidth="1"/>
    <col min="13050" max="13050" width="32.125" style="38" customWidth="1"/>
    <col min="13051" max="13051" width="13.625" style="38" customWidth="1"/>
    <col min="13052" max="13052" width="7.125" style="38" customWidth="1"/>
    <col min="13053" max="13053" width="4.375" style="38" customWidth="1"/>
    <col min="13054" max="13056" width="9.375" style="38" customWidth="1"/>
    <col min="13057" max="13299" width="9" style="38"/>
    <col min="13300" max="13300" width="1" style="38" customWidth="1"/>
    <col min="13301" max="13301" width="16.25" style="38" customWidth="1"/>
    <col min="13302" max="13302" width="18.625" style="38" customWidth="1"/>
    <col min="13303" max="13303" width="6" style="38" customWidth="1"/>
    <col min="13304" max="13304" width="15.875" style="38" customWidth="1"/>
    <col min="13305" max="13305" width="10.375" style="38" customWidth="1"/>
    <col min="13306" max="13306" width="32.125" style="38" customWidth="1"/>
    <col min="13307" max="13307" width="13.625" style="38" customWidth="1"/>
    <col min="13308" max="13308" width="7.125" style="38" customWidth="1"/>
    <col min="13309" max="13309" width="4.375" style="38" customWidth="1"/>
    <col min="13310" max="13312" width="9.375" style="38" customWidth="1"/>
    <col min="13313" max="13555" width="9" style="38"/>
    <col min="13556" max="13556" width="1" style="38" customWidth="1"/>
    <col min="13557" max="13557" width="16.25" style="38" customWidth="1"/>
    <col min="13558" max="13558" width="18.625" style="38" customWidth="1"/>
    <col min="13559" max="13559" width="6" style="38" customWidth="1"/>
    <col min="13560" max="13560" width="15.875" style="38" customWidth="1"/>
    <col min="13561" max="13561" width="10.375" style="38" customWidth="1"/>
    <col min="13562" max="13562" width="32.125" style="38" customWidth="1"/>
    <col min="13563" max="13563" width="13.625" style="38" customWidth="1"/>
    <col min="13564" max="13564" width="7.125" style="38" customWidth="1"/>
    <col min="13565" max="13565" width="4.375" style="38" customWidth="1"/>
    <col min="13566" max="13568" width="9.375" style="38" customWidth="1"/>
    <col min="13569" max="13811" width="9" style="38"/>
    <col min="13812" max="13812" width="1" style="38" customWidth="1"/>
    <col min="13813" max="13813" width="16.25" style="38" customWidth="1"/>
    <col min="13814" max="13814" width="18.625" style="38" customWidth="1"/>
    <col min="13815" max="13815" width="6" style="38" customWidth="1"/>
    <col min="13816" max="13816" width="15.875" style="38" customWidth="1"/>
    <col min="13817" max="13817" width="10.375" style="38" customWidth="1"/>
    <col min="13818" max="13818" width="32.125" style="38" customWidth="1"/>
    <col min="13819" max="13819" width="13.625" style="38" customWidth="1"/>
    <col min="13820" max="13820" width="7.125" style="38" customWidth="1"/>
    <col min="13821" max="13821" width="4.375" style="38" customWidth="1"/>
    <col min="13822" max="13824" width="9.375" style="38" customWidth="1"/>
    <col min="13825" max="14067" width="9" style="38"/>
    <col min="14068" max="14068" width="1" style="38" customWidth="1"/>
    <col min="14069" max="14069" width="16.25" style="38" customWidth="1"/>
    <col min="14070" max="14070" width="18.625" style="38" customWidth="1"/>
    <col min="14071" max="14071" width="6" style="38" customWidth="1"/>
    <col min="14072" max="14072" width="15.875" style="38" customWidth="1"/>
    <col min="14073" max="14073" width="10.375" style="38" customWidth="1"/>
    <col min="14074" max="14074" width="32.125" style="38" customWidth="1"/>
    <col min="14075" max="14075" width="13.625" style="38" customWidth="1"/>
    <col min="14076" max="14076" width="7.125" style="38" customWidth="1"/>
    <col min="14077" max="14077" width="4.375" style="38" customWidth="1"/>
    <col min="14078" max="14080" width="9.375" style="38" customWidth="1"/>
    <col min="14081" max="14323" width="9" style="38"/>
    <col min="14324" max="14324" width="1" style="38" customWidth="1"/>
    <col min="14325" max="14325" width="16.25" style="38" customWidth="1"/>
    <col min="14326" max="14326" width="18.625" style="38" customWidth="1"/>
    <col min="14327" max="14327" width="6" style="38" customWidth="1"/>
    <col min="14328" max="14328" width="15.875" style="38" customWidth="1"/>
    <col min="14329" max="14329" width="10.375" style="38" customWidth="1"/>
    <col min="14330" max="14330" width="32.125" style="38" customWidth="1"/>
    <col min="14331" max="14331" width="13.625" style="38" customWidth="1"/>
    <col min="14332" max="14332" width="7.125" style="38" customWidth="1"/>
    <col min="14333" max="14333" width="4.375" style="38" customWidth="1"/>
    <col min="14334" max="14336" width="9.375" style="38" customWidth="1"/>
    <col min="14337" max="14579" width="9" style="38"/>
    <col min="14580" max="14580" width="1" style="38" customWidth="1"/>
    <col min="14581" max="14581" width="16.25" style="38" customWidth="1"/>
    <col min="14582" max="14582" width="18.625" style="38" customWidth="1"/>
    <col min="14583" max="14583" width="6" style="38" customWidth="1"/>
    <col min="14584" max="14584" width="15.875" style="38" customWidth="1"/>
    <col min="14585" max="14585" width="10.375" style="38" customWidth="1"/>
    <col min="14586" max="14586" width="32.125" style="38" customWidth="1"/>
    <col min="14587" max="14587" width="13.625" style="38" customWidth="1"/>
    <col min="14588" max="14588" width="7.125" style="38" customWidth="1"/>
    <col min="14589" max="14589" width="4.375" style="38" customWidth="1"/>
    <col min="14590" max="14592" width="9.375" style="38" customWidth="1"/>
    <col min="14593" max="14835" width="9" style="38"/>
    <col min="14836" max="14836" width="1" style="38" customWidth="1"/>
    <col min="14837" max="14837" width="16.25" style="38" customWidth="1"/>
    <col min="14838" max="14838" width="18.625" style="38" customWidth="1"/>
    <col min="14839" max="14839" width="6" style="38" customWidth="1"/>
    <col min="14840" max="14840" width="15.875" style="38" customWidth="1"/>
    <col min="14841" max="14841" width="10.375" style="38" customWidth="1"/>
    <col min="14842" max="14842" width="32.125" style="38" customWidth="1"/>
    <col min="14843" max="14843" width="13.625" style="38" customWidth="1"/>
    <col min="14844" max="14844" width="7.125" style="38" customWidth="1"/>
    <col min="14845" max="14845" width="4.375" style="38" customWidth="1"/>
    <col min="14846" max="14848" width="9.375" style="38" customWidth="1"/>
    <col min="14849" max="15091" width="9" style="38"/>
    <col min="15092" max="15092" width="1" style="38" customWidth="1"/>
    <col min="15093" max="15093" width="16.25" style="38" customWidth="1"/>
    <col min="15094" max="15094" width="18.625" style="38" customWidth="1"/>
    <col min="15095" max="15095" width="6" style="38" customWidth="1"/>
    <col min="15096" max="15096" width="15.875" style="38" customWidth="1"/>
    <col min="15097" max="15097" width="10.375" style="38" customWidth="1"/>
    <col min="15098" max="15098" width="32.125" style="38" customWidth="1"/>
    <col min="15099" max="15099" width="13.625" style="38" customWidth="1"/>
    <col min="15100" max="15100" width="7.125" style="38" customWidth="1"/>
    <col min="15101" max="15101" width="4.375" style="38" customWidth="1"/>
    <col min="15102" max="15104" width="9.375" style="38" customWidth="1"/>
    <col min="15105" max="15347" width="9" style="38"/>
    <col min="15348" max="15348" width="1" style="38" customWidth="1"/>
    <col min="15349" max="15349" width="16.25" style="38" customWidth="1"/>
    <col min="15350" max="15350" width="18.625" style="38" customWidth="1"/>
    <col min="15351" max="15351" width="6" style="38" customWidth="1"/>
    <col min="15352" max="15352" width="15.875" style="38" customWidth="1"/>
    <col min="15353" max="15353" width="10.375" style="38" customWidth="1"/>
    <col min="15354" max="15354" width="32.125" style="38" customWidth="1"/>
    <col min="15355" max="15355" width="13.625" style="38" customWidth="1"/>
    <col min="15356" max="15356" width="7.125" style="38" customWidth="1"/>
    <col min="15357" max="15357" width="4.375" style="38" customWidth="1"/>
    <col min="15358" max="15360" width="9.375" style="38" customWidth="1"/>
    <col min="15361" max="15603" width="9" style="38"/>
    <col min="15604" max="15604" width="1" style="38" customWidth="1"/>
    <col min="15605" max="15605" width="16.25" style="38" customWidth="1"/>
    <col min="15606" max="15606" width="18.625" style="38" customWidth="1"/>
    <col min="15607" max="15607" width="6" style="38" customWidth="1"/>
    <col min="15608" max="15608" width="15.875" style="38" customWidth="1"/>
    <col min="15609" max="15609" width="10.375" style="38" customWidth="1"/>
    <col min="15610" max="15610" width="32.125" style="38" customWidth="1"/>
    <col min="15611" max="15611" width="13.625" style="38" customWidth="1"/>
    <col min="15612" max="15612" width="7.125" style="38" customWidth="1"/>
    <col min="15613" max="15613" width="4.375" style="38" customWidth="1"/>
    <col min="15614" max="15616" width="9.375" style="38" customWidth="1"/>
    <col min="15617" max="15859" width="9" style="38"/>
    <col min="15860" max="15860" width="1" style="38" customWidth="1"/>
    <col min="15861" max="15861" width="16.25" style="38" customWidth="1"/>
    <col min="15862" max="15862" width="18.625" style="38" customWidth="1"/>
    <col min="15863" max="15863" width="6" style="38" customWidth="1"/>
    <col min="15864" max="15864" width="15.875" style="38" customWidth="1"/>
    <col min="15865" max="15865" width="10.375" style="38" customWidth="1"/>
    <col min="15866" max="15866" width="32.125" style="38" customWidth="1"/>
    <col min="15867" max="15867" width="13.625" style="38" customWidth="1"/>
    <col min="15868" max="15868" width="7.125" style="38" customWidth="1"/>
    <col min="15869" max="15869" width="4.375" style="38" customWidth="1"/>
    <col min="15870" max="15872" width="9.375" style="38" customWidth="1"/>
    <col min="15873" max="16115" width="9" style="38"/>
    <col min="16116" max="16116" width="1" style="38" customWidth="1"/>
    <col min="16117" max="16117" width="16.25" style="38" customWidth="1"/>
    <col min="16118" max="16118" width="18.625" style="38" customWidth="1"/>
    <col min="16119" max="16119" width="6" style="38" customWidth="1"/>
    <col min="16120" max="16120" width="15.875" style="38" customWidth="1"/>
    <col min="16121" max="16121" width="10.375" style="38" customWidth="1"/>
    <col min="16122" max="16122" width="32.125" style="38" customWidth="1"/>
    <col min="16123" max="16123" width="13.625" style="38" customWidth="1"/>
    <col min="16124" max="16124" width="7.125" style="38" customWidth="1"/>
    <col min="16125" max="16125" width="4.375" style="38" customWidth="1"/>
    <col min="16126" max="16128" width="9.375" style="38" customWidth="1"/>
    <col min="16129" max="16384" width="9" style="38"/>
  </cols>
  <sheetData>
    <row r="1" spans="2:8" ht="43.5" customHeight="1" x14ac:dyDescent="0.25">
      <c r="C1" s="51"/>
    </row>
    <row r="2" spans="2:8" ht="13.9" x14ac:dyDescent="0.25">
      <c r="B2" s="42" t="s">
        <v>7</v>
      </c>
      <c r="C2" s="411" t="s">
        <v>80</v>
      </c>
      <c r="D2" s="411"/>
    </row>
    <row r="3" spans="2:8" ht="13.9" x14ac:dyDescent="0.25">
      <c r="B3" s="42"/>
      <c r="C3" s="287"/>
      <c r="D3" s="287"/>
    </row>
    <row r="4" spans="2:8" ht="42.75" customHeight="1" x14ac:dyDescent="0.25">
      <c r="B4" s="28" t="s">
        <v>56</v>
      </c>
      <c r="C4" s="435" t="s">
        <v>189</v>
      </c>
      <c r="D4" s="435"/>
      <c r="E4" s="435"/>
      <c r="F4" s="435"/>
      <c r="G4" s="435"/>
      <c r="H4" s="435"/>
    </row>
    <row r="5" spans="2:8" ht="33" customHeight="1" x14ac:dyDescent="0.25">
      <c r="B5" s="28"/>
      <c r="C5" s="297" t="s">
        <v>177</v>
      </c>
      <c r="D5" s="66"/>
      <c r="E5" s="66"/>
      <c r="F5" s="66"/>
      <c r="G5" s="66"/>
      <c r="H5" s="66"/>
    </row>
    <row r="6" spans="2:8" ht="13.15" x14ac:dyDescent="0.25">
      <c r="B6" s="50"/>
      <c r="C6" s="94" t="s">
        <v>30</v>
      </c>
      <c r="D6" s="94" t="s">
        <v>31</v>
      </c>
    </row>
    <row r="7" spans="2:8" ht="13.15" x14ac:dyDescent="0.25">
      <c r="C7" s="92" t="s">
        <v>73</v>
      </c>
      <c r="D7" s="93">
        <f>SUM(GSOperating[Total])</f>
        <v>508.8</v>
      </c>
    </row>
    <row r="8" spans="2:8" ht="13.15" x14ac:dyDescent="0.25">
      <c r="C8" s="92" t="s">
        <v>74</v>
      </c>
      <c r="D8" s="93">
        <f>SUM(GSCapital[Total])</f>
        <v>101760</v>
      </c>
    </row>
    <row r="9" spans="2:8" ht="13.15" x14ac:dyDescent="0.25">
      <c r="C9" s="92" t="s">
        <v>75</v>
      </c>
      <c r="D9" s="93">
        <f>SUM(EmplOperating[Total Cost])</f>
        <v>5000</v>
      </c>
    </row>
    <row r="10" spans="2:8" ht="13.15" x14ac:dyDescent="0.25">
      <c r="C10" s="92" t="s">
        <v>76</v>
      </c>
      <c r="D10" s="93">
        <f>SUM(ECCapital[Total Cost])</f>
        <v>40</v>
      </c>
    </row>
    <row r="11" spans="2:8" ht="13.15" x14ac:dyDescent="0.25">
      <c r="B11" s="35"/>
      <c r="C11" s="92" t="s">
        <v>77</v>
      </c>
      <c r="D11" s="93">
        <f>SUM(EquipOC[Total Costs])</f>
        <v>960</v>
      </c>
    </row>
    <row r="12" spans="2:8" ht="13.15" x14ac:dyDescent="0.25">
      <c r="B12" s="35"/>
      <c r="C12" s="92" t="s">
        <v>78</v>
      </c>
      <c r="D12" s="93">
        <f>SUM(EquipCC[Total Costs])</f>
        <v>160</v>
      </c>
    </row>
    <row r="13" spans="2:8" ht="13.15" x14ac:dyDescent="0.25">
      <c r="B13" s="35"/>
      <c r="C13" s="92" t="s">
        <v>60</v>
      </c>
      <c r="D13" s="93">
        <f>SUM(Revenue[Total])</f>
        <v>5000</v>
      </c>
    </row>
    <row r="14" spans="2:8" ht="29.25" customHeight="1" x14ac:dyDescent="0.25">
      <c r="B14" s="35"/>
      <c r="C14" s="76" t="s">
        <v>61</v>
      </c>
      <c r="D14" s="274">
        <f>SUM(D7:D12)-D13</f>
        <v>103428.8</v>
      </c>
    </row>
    <row r="15" spans="2:8" ht="32.25" customHeight="1" x14ac:dyDescent="0.25">
      <c r="B15" s="35"/>
      <c r="C15" s="29" t="s">
        <v>178</v>
      </c>
      <c r="D15" s="271"/>
    </row>
    <row r="16" spans="2:8" ht="25.5" customHeight="1" x14ac:dyDescent="0.2">
      <c r="B16" s="35"/>
      <c r="C16" s="272" t="s">
        <v>112</v>
      </c>
      <c r="D16" s="273">
        <f>SUM(EstCost[CostEst])</f>
        <v>1000</v>
      </c>
      <c r="H16" s="56"/>
    </row>
    <row r="17" spans="2:4" ht="25.5" customHeight="1" x14ac:dyDescent="0.2">
      <c r="B17" s="35"/>
      <c r="C17" s="272" t="s">
        <v>101</v>
      </c>
      <c r="D17" s="275">
        <f>D14+D16</f>
        <v>104428.8</v>
      </c>
    </row>
    <row r="18" spans="2:4" ht="27" customHeight="1" x14ac:dyDescent="0.2">
      <c r="B18" s="35"/>
      <c r="C18" s="81" t="s">
        <v>129</v>
      </c>
      <c r="D18" s="30"/>
    </row>
    <row r="19" spans="2:4" ht="13.5" customHeight="1" x14ac:dyDescent="0.2">
      <c r="B19" s="52"/>
      <c r="C19" s="81" t="s">
        <v>128</v>
      </c>
      <c r="D19" s="30"/>
    </row>
    <row r="20" spans="2:4" ht="12.75" customHeight="1" x14ac:dyDescent="0.2">
      <c r="C20" s="81"/>
    </row>
    <row r="22" spans="2:4" ht="15.75" x14ac:dyDescent="0.2">
      <c r="B22" s="53"/>
      <c r="C22" s="81"/>
    </row>
    <row r="23" spans="2:4" x14ac:dyDescent="0.2">
      <c r="B23" s="35"/>
    </row>
    <row r="24" spans="2:4" x14ac:dyDescent="0.2">
      <c r="B24" s="35"/>
    </row>
    <row r="25" spans="2:4" x14ac:dyDescent="0.2">
      <c r="B25" s="35"/>
    </row>
  </sheetData>
  <sheetProtection selectLockedCells="1" selectUnlockedCells="1"/>
  <mergeCells count="2">
    <mergeCell ref="C4:H4"/>
    <mergeCell ref="C2:D2"/>
  </mergeCells>
  <pageMargins left="0.25" right="0.25" top="1.0104166666666667" bottom="0.75" header="0.3" footer="0.3"/>
  <pageSetup paperSize="5" fitToHeight="0" orientation="landscape" horizontalDpi="300" verticalDpi="300" r:id="rId1"/>
  <headerFooter>
    <oddHeader>&amp;L&amp;G&amp;C&amp;"Arial,Bold"&amp;18&amp;K000000Total Claim Summary&amp;R&amp;"Arial,Bold"&amp;12&amp;K000000Municipal Disaster Recovery Assistance Program</oddHeader>
    <oddFooter>&amp;RPage &amp;P of &amp;N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249977111117893"/>
    <pageSetUpPr fitToPage="1"/>
  </sheetPr>
  <dimension ref="A1:H34"/>
  <sheetViews>
    <sheetView showGridLines="0" zoomScale="90" zoomScaleNormal="90" zoomScalePageLayoutView="8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G8" sqref="G8"/>
    </sheetView>
  </sheetViews>
  <sheetFormatPr defaultRowHeight="12.75" x14ac:dyDescent="0.2"/>
  <cols>
    <col min="1" max="1" width="2.75" style="67" customWidth="1"/>
    <col min="2" max="2" width="18.375" style="67" customWidth="1"/>
    <col min="3" max="3" width="28.625" style="67" customWidth="1"/>
    <col min="4" max="4" width="54" style="67" customWidth="1"/>
    <col min="5" max="5" width="35.125" style="67" customWidth="1"/>
    <col min="6" max="6" width="26.25" style="67" customWidth="1"/>
    <col min="7" max="7" width="22.25" style="67" customWidth="1"/>
    <col min="8" max="9" width="10.625" style="67" customWidth="1"/>
    <col min="10" max="252" width="9" style="67"/>
    <col min="253" max="253" width="1" style="67" customWidth="1"/>
    <col min="254" max="254" width="16.25" style="67" customWidth="1"/>
    <col min="255" max="255" width="18.625" style="67" customWidth="1"/>
    <col min="256" max="256" width="6" style="67" customWidth="1"/>
    <col min="257" max="257" width="15.875" style="67" customWidth="1"/>
    <col min="258" max="258" width="10.375" style="67" customWidth="1"/>
    <col min="259" max="259" width="32.125" style="67" customWidth="1"/>
    <col min="260" max="260" width="13.625" style="67" customWidth="1"/>
    <col min="261" max="261" width="7.125" style="67" customWidth="1"/>
    <col min="262" max="262" width="4.375" style="67" customWidth="1"/>
    <col min="263" max="265" width="9.375" style="67" customWidth="1"/>
    <col min="266" max="508" width="9" style="67"/>
    <col min="509" max="509" width="1" style="67" customWidth="1"/>
    <col min="510" max="510" width="16.25" style="67" customWidth="1"/>
    <col min="511" max="511" width="18.625" style="67" customWidth="1"/>
    <col min="512" max="512" width="6" style="67" customWidth="1"/>
    <col min="513" max="513" width="15.875" style="67" customWidth="1"/>
    <col min="514" max="514" width="10.375" style="67" customWidth="1"/>
    <col min="515" max="515" width="32.125" style="67" customWidth="1"/>
    <col min="516" max="516" width="13.625" style="67" customWidth="1"/>
    <col min="517" max="517" width="7.125" style="67" customWidth="1"/>
    <col min="518" max="518" width="4.375" style="67" customWidth="1"/>
    <col min="519" max="521" width="9.375" style="67" customWidth="1"/>
    <col min="522" max="764" width="9" style="67"/>
    <col min="765" max="765" width="1" style="67" customWidth="1"/>
    <col min="766" max="766" width="16.25" style="67" customWidth="1"/>
    <col min="767" max="767" width="18.625" style="67" customWidth="1"/>
    <col min="768" max="768" width="6" style="67" customWidth="1"/>
    <col min="769" max="769" width="15.875" style="67" customWidth="1"/>
    <col min="770" max="770" width="10.375" style="67" customWidth="1"/>
    <col min="771" max="771" width="32.125" style="67" customWidth="1"/>
    <col min="772" max="772" width="13.625" style="67" customWidth="1"/>
    <col min="773" max="773" width="7.125" style="67" customWidth="1"/>
    <col min="774" max="774" width="4.375" style="67" customWidth="1"/>
    <col min="775" max="777" width="9.375" style="67" customWidth="1"/>
    <col min="778" max="1020" width="9" style="67"/>
    <col min="1021" max="1021" width="1" style="67" customWidth="1"/>
    <col min="1022" max="1022" width="16.25" style="67" customWidth="1"/>
    <col min="1023" max="1023" width="18.625" style="67" customWidth="1"/>
    <col min="1024" max="1024" width="6" style="67" customWidth="1"/>
    <col min="1025" max="1025" width="15.875" style="67" customWidth="1"/>
    <col min="1026" max="1026" width="10.375" style="67" customWidth="1"/>
    <col min="1027" max="1027" width="32.125" style="67" customWidth="1"/>
    <col min="1028" max="1028" width="13.625" style="67" customWidth="1"/>
    <col min="1029" max="1029" width="7.125" style="67" customWidth="1"/>
    <col min="1030" max="1030" width="4.375" style="67" customWidth="1"/>
    <col min="1031" max="1033" width="9.375" style="67" customWidth="1"/>
    <col min="1034" max="1276" width="9" style="67"/>
    <col min="1277" max="1277" width="1" style="67" customWidth="1"/>
    <col min="1278" max="1278" width="16.25" style="67" customWidth="1"/>
    <col min="1279" max="1279" width="18.625" style="67" customWidth="1"/>
    <col min="1280" max="1280" width="6" style="67" customWidth="1"/>
    <col min="1281" max="1281" width="15.875" style="67" customWidth="1"/>
    <col min="1282" max="1282" width="10.375" style="67" customWidth="1"/>
    <col min="1283" max="1283" width="32.125" style="67" customWidth="1"/>
    <col min="1284" max="1284" width="13.625" style="67" customWidth="1"/>
    <col min="1285" max="1285" width="7.125" style="67" customWidth="1"/>
    <col min="1286" max="1286" width="4.375" style="67" customWidth="1"/>
    <col min="1287" max="1289" width="9.375" style="67" customWidth="1"/>
    <col min="1290" max="1532" width="9" style="67"/>
    <col min="1533" max="1533" width="1" style="67" customWidth="1"/>
    <col min="1534" max="1534" width="16.25" style="67" customWidth="1"/>
    <col min="1535" max="1535" width="18.625" style="67" customWidth="1"/>
    <col min="1536" max="1536" width="6" style="67" customWidth="1"/>
    <col min="1537" max="1537" width="15.875" style="67" customWidth="1"/>
    <col min="1538" max="1538" width="10.375" style="67" customWidth="1"/>
    <col min="1539" max="1539" width="32.125" style="67" customWidth="1"/>
    <col min="1540" max="1540" width="13.625" style="67" customWidth="1"/>
    <col min="1541" max="1541" width="7.125" style="67" customWidth="1"/>
    <col min="1542" max="1542" width="4.375" style="67" customWidth="1"/>
    <col min="1543" max="1545" width="9.375" style="67" customWidth="1"/>
    <col min="1546" max="1788" width="9" style="67"/>
    <col min="1789" max="1789" width="1" style="67" customWidth="1"/>
    <col min="1790" max="1790" width="16.25" style="67" customWidth="1"/>
    <col min="1791" max="1791" width="18.625" style="67" customWidth="1"/>
    <col min="1792" max="1792" width="6" style="67" customWidth="1"/>
    <col min="1793" max="1793" width="15.875" style="67" customWidth="1"/>
    <col min="1794" max="1794" width="10.375" style="67" customWidth="1"/>
    <col min="1795" max="1795" width="32.125" style="67" customWidth="1"/>
    <col min="1796" max="1796" width="13.625" style="67" customWidth="1"/>
    <col min="1797" max="1797" width="7.125" style="67" customWidth="1"/>
    <col min="1798" max="1798" width="4.375" style="67" customWidth="1"/>
    <col min="1799" max="1801" width="9.375" style="67" customWidth="1"/>
    <col min="1802" max="2044" width="9" style="67"/>
    <col min="2045" max="2045" width="1" style="67" customWidth="1"/>
    <col min="2046" max="2046" width="16.25" style="67" customWidth="1"/>
    <col min="2047" max="2047" width="18.625" style="67" customWidth="1"/>
    <col min="2048" max="2048" width="6" style="67" customWidth="1"/>
    <col min="2049" max="2049" width="15.875" style="67" customWidth="1"/>
    <col min="2050" max="2050" width="10.375" style="67" customWidth="1"/>
    <col min="2051" max="2051" width="32.125" style="67" customWidth="1"/>
    <col min="2052" max="2052" width="13.625" style="67" customWidth="1"/>
    <col min="2053" max="2053" width="7.125" style="67" customWidth="1"/>
    <col min="2054" max="2054" width="4.375" style="67" customWidth="1"/>
    <col min="2055" max="2057" width="9.375" style="67" customWidth="1"/>
    <col min="2058" max="2300" width="9" style="67"/>
    <col min="2301" max="2301" width="1" style="67" customWidth="1"/>
    <col min="2302" max="2302" width="16.25" style="67" customWidth="1"/>
    <col min="2303" max="2303" width="18.625" style="67" customWidth="1"/>
    <col min="2304" max="2304" width="6" style="67" customWidth="1"/>
    <col min="2305" max="2305" width="15.875" style="67" customWidth="1"/>
    <col min="2306" max="2306" width="10.375" style="67" customWidth="1"/>
    <col min="2307" max="2307" width="32.125" style="67" customWidth="1"/>
    <col min="2308" max="2308" width="13.625" style="67" customWidth="1"/>
    <col min="2309" max="2309" width="7.125" style="67" customWidth="1"/>
    <col min="2310" max="2310" width="4.375" style="67" customWidth="1"/>
    <col min="2311" max="2313" width="9.375" style="67" customWidth="1"/>
    <col min="2314" max="2556" width="9" style="67"/>
    <col min="2557" max="2557" width="1" style="67" customWidth="1"/>
    <col min="2558" max="2558" width="16.25" style="67" customWidth="1"/>
    <col min="2559" max="2559" width="18.625" style="67" customWidth="1"/>
    <col min="2560" max="2560" width="6" style="67" customWidth="1"/>
    <col min="2561" max="2561" width="15.875" style="67" customWidth="1"/>
    <col min="2562" max="2562" width="10.375" style="67" customWidth="1"/>
    <col min="2563" max="2563" width="32.125" style="67" customWidth="1"/>
    <col min="2564" max="2564" width="13.625" style="67" customWidth="1"/>
    <col min="2565" max="2565" width="7.125" style="67" customWidth="1"/>
    <col min="2566" max="2566" width="4.375" style="67" customWidth="1"/>
    <col min="2567" max="2569" width="9.375" style="67" customWidth="1"/>
    <col min="2570" max="2812" width="9" style="67"/>
    <col min="2813" max="2813" width="1" style="67" customWidth="1"/>
    <col min="2814" max="2814" width="16.25" style="67" customWidth="1"/>
    <col min="2815" max="2815" width="18.625" style="67" customWidth="1"/>
    <col min="2816" max="2816" width="6" style="67" customWidth="1"/>
    <col min="2817" max="2817" width="15.875" style="67" customWidth="1"/>
    <col min="2818" max="2818" width="10.375" style="67" customWidth="1"/>
    <col min="2819" max="2819" width="32.125" style="67" customWidth="1"/>
    <col min="2820" max="2820" width="13.625" style="67" customWidth="1"/>
    <col min="2821" max="2821" width="7.125" style="67" customWidth="1"/>
    <col min="2822" max="2822" width="4.375" style="67" customWidth="1"/>
    <col min="2823" max="2825" width="9.375" style="67" customWidth="1"/>
    <col min="2826" max="3068" width="9" style="67"/>
    <col min="3069" max="3069" width="1" style="67" customWidth="1"/>
    <col min="3070" max="3070" width="16.25" style="67" customWidth="1"/>
    <col min="3071" max="3071" width="18.625" style="67" customWidth="1"/>
    <col min="3072" max="3072" width="6" style="67" customWidth="1"/>
    <col min="3073" max="3073" width="15.875" style="67" customWidth="1"/>
    <col min="3074" max="3074" width="10.375" style="67" customWidth="1"/>
    <col min="3075" max="3075" width="32.125" style="67" customWidth="1"/>
    <col min="3076" max="3076" width="13.625" style="67" customWidth="1"/>
    <col min="3077" max="3077" width="7.125" style="67" customWidth="1"/>
    <col min="3078" max="3078" width="4.375" style="67" customWidth="1"/>
    <col min="3079" max="3081" width="9.375" style="67" customWidth="1"/>
    <col min="3082" max="3324" width="9" style="67"/>
    <col min="3325" max="3325" width="1" style="67" customWidth="1"/>
    <col min="3326" max="3326" width="16.25" style="67" customWidth="1"/>
    <col min="3327" max="3327" width="18.625" style="67" customWidth="1"/>
    <col min="3328" max="3328" width="6" style="67" customWidth="1"/>
    <col min="3329" max="3329" width="15.875" style="67" customWidth="1"/>
    <col min="3330" max="3330" width="10.375" style="67" customWidth="1"/>
    <col min="3331" max="3331" width="32.125" style="67" customWidth="1"/>
    <col min="3332" max="3332" width="13.625" style="67" customWidth="1"/>
    <col min="3333" max="3333" width="7.125" style="67" customWidth="1"/>
    <col min="3334" max="3334" width="4.375" style="67" customWidth="1"/>
    <col min="3335" max="3337" width="9.375" style="67" customWidth="1"/>
    <col min="3338" max="3580" width="9" style="67"/>
    <col min="3581" max="3581" width="1" style="67" customWidth="1"/>
    <col min="3582" max="3582" width="16.25" style="67" customWidth="1"/>
    <col min="3583" max="3583" width="18.625" style="67" customWidth="1"/>
    <col min="3584" max="3584" width="6" style="67" customWidth="1"/>
    <col min="3585" max="3585" width="15.875" style="67" customWidth="1"/>
    <col min="3586" max="3586" width="10.375" style="67" customWidth="1"/>
    <col min="3587" max="3587" width="32.125" style="67" customWidth="1"/>
    <col min="3588" max="3588" width="13.625" style="67" customWidth="1"/>
    <col min="3589" max="3589" width="7.125" style="67" customWidth="1"/>
    <col min="3590" max="3590" width="4.375" style="67" customWidth="1"/>
    <col min="3591" max="3593" width="9.375" style="67" customWidth="1"/>
    <col min="3594" max="3836" width="9" style="67"/>
    <col min="3837" max="3837" width="1" style="67" customWidth="1"/>
    <col min="3838" max="3838" width="16.25" style="67" customWidth="1"/>
    <col min="3839" max="3839" width="18.625" style="67" customWidth="1"/>
    <col min="3840" max="3840" width="6" style="67" customWidth="1"/>
    <col min="3841" max="3841" width="15.875" style="67" customWidth="1"/>
    <col min="3842" max="3842" width="10.375" style="67" customWidth="1"/>
    <col min="3843" max="3843" width="32.125" style="67" customWidth="1"/>
    <col min="3844" max="3844" width="13.625" style="67" customWidth="1"/>
    <col min="3845" max="3845" width="7.125" style="67" customWidth="1"/>
    <col min="3846" max="3846" width="4.375" style="67" customWidth="1"/>
    <col min="3847" max="3849" width="9.375" style="67" customWidth="1"/>
    <col min="3850" max="4092" width="9" style="67"/>
    <col min="4093" max="4093" width="1" style="67" customWidth="1"/>
    <col min="4094" max="4094" width="16.25" style="67" customWidth="1"/>
    <col min="4095" max="4095" width="18.625" style="67" customWidth="1"/>
    <col min="4096" max="4096" width="6" style="67" customWidth="1"/>
    <col min="4097" max="4097" width="15.875" style="67" customWidth="1"/>
    <col min="4098" max="4098" width="10.375" style="67" customWidth="1"/>
    <col min="4099" max="4099" width="32.125" style="67" customWidth="1"/>
    <col min="4100" max="4100" width="13.625" style="67" customWidth="1"/>
    <col min="4101" max="4101" width="7.125" style="67" customWidth="1"/>
    <col min="4102" max="4102" width="4.375" style="67" customWidth="1"/>
    <col min="4103" max="4105" width="9.375" style="67" customWidth="1"/>
    <col min="4106" max="4348" width="9" style="67"/>
    <col min="4349" max="4349" width="1" style="67" customWidth="1"/>
    <col min="4350" max="4350" width="16.25" style="67" customWidth="1"/>
    <col min="4351" max="4351" width="18.625" style="67" customWidth="1"/>
    <col min="4352" max="4352" width="6" style="67" customWidth="1"/>
    <col min="4353" max="4353" width="15.875" style="67" customWidth="1"/>
    <col min="4354" max="4354" width="10.375" style="67" customWidth="1"/>
    <col min="4355" max="4355" width="32.125" style="67" customWidth="1"/>
    <col min="4356" max="4356" width="13.625" style="67" customWidth="1"/>
    <col min="4357" max="4357" width="7.125" style="67" customWidth="1"/>
    <col min="4358" max="4358" width="4.375" style="67" customWidth="1"/>
    <col min="4359" max="4361" width="9.375" style="67" customWidth="1"/>
    <col min="4362" max="4604" width="9" style="67"/>
    <col min="4605" max="4605" width="1" style="67" customWidth="1"/>
    <col min="4606" max="4606" width="16.25" style="67" customWidth="1"/>
    <col min="4607" max="4607" width="18.625" style="67" customWidth="1"/>
    <col min="4608" max="4608" width="6" style="67" customWidth="1"/>
    <col min="4609" max="4609" width="15.875" style="67" customWidth="1"/>
    <col min="4610" max="4610" width="10.375" style="67" customWidth="1"/>
    <col min="4611" max="4611" width="32.125" style="67" customWidth="1"/>
    <col min="4612" max="4612" width="13.625" style="67" customWidth="1"/>
    <col min="4613" max="4613" width="7.125" style="67" customWidth="1"/>
    <col min="4614" max="4614" width="4.375" style="67" customWidth="1"/>
    <col min="4615" max="4617" width="9.375" style="67" customWidth="1"/>
    <col min="4618" max="4860" width="9" style="67"/>
    <col min="4861" max="4861" width="1" style="67" customWidth="1"/>
    <col min="4862" max="4862" width="16.25" style="67" customWidth="1"/>
    <col min="4863" max="4863" width="18.625" style="67" customWidth="1"/>
    <col min="4864" max="4864" width="6" style="67" customWidth="1"/>
    <col min="4865" max="4865" width="15.875" style="67" customWidth="1"/>
    <col min="4866" max="4866" width="10.375" style="67" customWidth="1"/>
    <col min="4867" max="4867" width="32.125" style="67" customWidth="1"/>
    <col min="4868" max="4868" width="13.625" style="67" customWidth="1"/>
    <col min="4869" max="4869" width="7.125" style="67" customWidth="1"/>
    <col min="4870" max="4870" width="4.375" style="67" customWidth="1"/>
    <col min="4871" max="4873" width="9.375" style="67" customWidth="1"/>
    <col min="4874" max="5116" width="9" style="67"/>
    <col min="5117" max="5117" width="1" style="67" customWidth="1"/>
    <col min="5118" max="5118" width="16.25" style="67" customWidth="1"/>
    <col min="5119" max="5119" width="18.625" style="67" customWidth="1"/>
    <col min="5120" max="5120" width="6" style="67" customWidth="1"/>
    <col min="5121" max="5121" width="15.875" style="67" customWidth="1"/>
    <col min="5122" max="5122" width="10.375" style="67" customWidth="1"/>
    <col min="5123" max="5123" width="32.125" style="67" customWidth="1"/>
    <col min="5124" max="5124" width="13.625" style="67" customWidth="1"/>
    <col min="5125" max="5125" width="7.125" style="67" customWidth="1"/>
    <col min="5126" max="5126" width="4.375" style="67" customWidth="1"/>
    <col min="5127" max="5129" width="9.375" style="67" customWidth="1"/>
    <col min="5130" max="5372" width="9" style="67"/>
    <col min="5373" max="5373" width="1" style="67" customWidth="1"/>
    <col min="5374" max="5374" width="16.25" style="67" customWidth="1"/>
    <col min="5375" max="5375" width="18.625" style="67" customWidth="1"/>
    <col min="5376" max="5376" width="6" style="67" customWidth="1"/>
    <col min="5377" max="5377" width="15.875" style="67" customWidth="1"/>
    <col min="5378" max="5378" width="10.375" style="67" customWidth="1"/>
    <col min="5379" max="5379" width="32.125" style="67" customWidth="1"/>
    <col min="5380" max="5380" width="13.625" style="67" customWidth="1"/>
    <col min="5381" max="5381" width="7.125" style="67" customWidth="1"/>
    <col min="5382" max="5382" width="4.375" style="67" customWidth="1"/>
    <col min="5383" max="5385" width="9.375" style="67" customWidth="1"/>
    <col min="5386" max="5628" width="9" style="67"/>
    <col min="5629" max="5629" width="1" style="67" customWidth="1"/>
    <col min="5630" max="5630" width="16.25" style="67" customWidth="1"/>
    <col min="5631" max="5631" width="18.625" style="67" customWidth="1"/>
    <col min="5632" max="5632" width="6" style="67" customWidth="1"/>
    <col min="5633" max="5633" width="15.875" style="67" customWidth="1"/>
    <col min="5634" max="5634" width="10.375" style="67" customWidth="1"/>
    <col min="5635" max="5635" width="32.125" style="67" customWidth="1"/>
    <col min="5636" max="5636" width="13.625" style="67" customWidth="1"/>
    <col min="5637" max="5637" width="7.125" style="67" customWidth="1"/>
    <col min="5638" max="5638" width="4.375" style="67" customWidth="1"/>
    <col min="5639" max="5641" width="9.375" style="67" customWidth="1"/>
    <col min="5642" max="5884" width="9" style="67"/>
    <col min="5885" max="5885" width="1" style="67" customWidth="1"/>
    <col min="5886" max="5886" width="16.25" style="67" customWidth="1"/>
    <col min="5887" max="5887" width="18.625" style="67" customWidth="1"/>
    <col min="5888" max="5888" width="6" style="67" customWidth="1"/>
    <col min="5889" max="5889" width="15.875" style="67" customWidth="1"/>
    <col min="5890" max="5890" width="10.375" style="67" customWidth="1"/>
    <col min="5891" max="5891" width="32.125" style="67" customWidth="1"/>
    <col min="5892" max="5892" width="13.625" style="67" customWidth="1"/>
    <col min="5893" max="5893" width="7.125" style="67" customWidth="1"/>
    <col min="5894" max="5894" width="4.375" style="67" customWidth="1"/>
    <col min="5895" max="5897" width="9.375" style="67" customWidth="1"/>
    <col min="5898" max="6140" width="9" style="67"/>
    <col min="6141" max="6141" width="1" style="67" customWidth="1"/>
    <col min="6142" max="6142" width="16.25" style="67" customWidth="1"/>
    <col min="6143" max="6143" width="18.625" style="67" customWidth="1"/>
    <col min="6144" max="6144" width="6" style="67" customWidth="1"/>
    <col min="6145" max="6145" width="15.875" style="67" customWidth="1"/>
    <col min="6146" max="6146" width="10.375" style="67" customWidth="1"/>
    <col min="6147" max="6147" width="32.125" style="67" customWidth="1"/>
    <col min="6148" max="6148" width="13.625" style="67" customWidth="1"/>
    <col min="6149" max="6149" width="7.125" style="67" customWidth="1"/>
    <col min="6150" max="6150" width="4.375" style="67" customWidth="1"/>
    <col min="6151" max="6153" width="9.375" style="67" customWidth="1"/>
    <col min="6154" max="6396" width="9" style="67"/>
    <col min="6397" max="6397" width="1" style="67" customWidth="1"/>
    <col min="6398" max="6398" width="16.25" style="67" customWidth="1"/>
    <col min="6399" max="6399" width="18.625" style="67" customWidth="1"/>
    <col min="6400" max="6400" width="6" style="67" customWidth="1"/>
    <col min="6401" max="6401" width="15.875" style="67" customWidth="1"/>
    <col min="6402" max="6402" width="10.375" style="67" customWidth="1"/>
    <col min="6403" max="6403" width="32.125" style="67" customWidth="1"/>
    <col min="6404" max="6404" width="13.625" style="67" customWidth="1"/>
    <col min="6405" max="6405" width="7.125" style="67" customWidth="1"/>
    <col min="6406" max="6406" width="4.375" style="67" customWidth="1"/>
    <col min="6407" max="6409" width="9.375" style="67" customWidth="1"/>
    <col min="6410" max="6652" width="9" style="67"/>
    <col min="6653" max="6653" width="1" style="67" customWidth="1"/>
    <col min="6654" max="6654" width="16.25" style="67" customWidth="1"/>
    <col min="6655" max="6655" width="18.625" style="67" customWidth="1"/>
    <col min="6656" max="6656" width="6" style="67" customWidth="1"/>
    <col min="6657" max="6657" width="15.875" style="67" customWidth="1"/>
    <col min="6658" max="6658" width="10.375" style="67" customWidth="1"/>
    <col min="6659" max="6659" width="32.125" style="67" customWidth="1"/>
    <col min="6660" max="6660" width="13.625" style="67" customWidth="1"/>
    <col min="6661" max="6661" width="7.125" style="67" customWidth="1"/>
    <col min="6662" max="6662" width="4.375" style="67" customWidth="1"/>
    <col min="6663" max="6665" width="9.375" style="67" customWidth="1"/>
    <col min="6666" max="6908" width="9" style="67"/>
    <col min="6909" max="6909" width="1" style="67" customWidth="1"/>
    <col min="6910" max="6910" width="16.25" style="67" customWidth="1"/>
    <col min="6911" max="6911" width="18.625" style="67" customWidth="1"/>
    <col min="6912" max="6912" width="6" style="67" customWidth="1"/>
    <col min="6913" max="6913" width="15.875" style="67" customWidth="1"/>
    <col min="6914" max="6914" width="10.375" style="67" customWidth="1"/>
    <col min="6915" max="6915" width="32.125" style="67" customWidth="1"/>
    <col min="6916" max="6916" width="13.625" style="67" customWidth="1"/>
    <col min="6917" max="6917" width="7.125" style="67" customWidth="1"/>
    <col min="6918" max="6918" width="4.375" style="67" customWidth="1"/>
    <col min="6919" max="6921" width="9.375" style="67" customWidth="1"/>
    <col min="6922" max="7164" width="9" style="67"/>
    <col min="7165" max="7165" width="1" style="67" customWidth="1"/>
    <col min="7166" max="7166" width="16.25" style="67" customWidth="1"/>
    <col min="7167" max="7167" width="18.625" style="67" customWidth="1"/>
    <col min="7168" max="7168" width="6" style="67" customWidth="1"/>
    <col min="7169" max="7169" width="15.875" style="67" customWidth="1"/>
    <col min="7170" max="7170" width="10.375" style="67" customWidth="1"/>
    <col min="7171" max="7171" width="32.125" style="67" customWidth="1"/>
    <col min="7172" max="7172" width="13.625" style="67" customWidth="1"/>
    <col min="7173" max="7173" width="7.125" style="67" customWidth="1"/>
    <col min="7174" max="7174" width="4.375" style="67" customWidth="1"/>
    <col min="7175" max="7177" width="9.375" style="67" customWidth="1"/>
    <col min="7178" max="7420" width="9" style="67"/>
    <col min="7421" max="7421" width="1" style="67" customWidth="1"/>
    <col min="7422" max="7422" width="16.25" style="67" customWidth="1"/>
    <col min="7423" max="7423" width="18.625" style="67" customWidth="1"/>
    <col min="7424" max="7424" width="6" style="67" customWidth="1"/>
    <col min="7425" max="7425" width="15.875" style="67" customWidth="1"/>
    <col min="7426" max="7426" width="10.375" style="67" customWidth="1"/>
    <col min="7427" max="7427" width="32.125" style="67" customWidth="1"/>
    <col min="7428" max="7428" width="13.625" style="67" customWidth="1"/>
    <col min="7429" max="7429" width="7.125" style="67" customWidth="1"/>
    <col min="7430" max="7430" width="4.375" style="67" customWidth="1"/>
    <col min="7431" max="7433" width="9.375" style="67" customWidth="1"/>
    <col min="7434" max="7676" width="9" style="67"/>
    <col min="7677" max="7677" width="1" style="67" customWidth="1"/>
    <col min="7678" max="7678" width="16.25" style="67" customWidth="1"/>
    <col min="7679" max="7679" width="18.625" style="67" customWidth="1"/>
    <col min="7680" max="7680" width="6" style="67" customWidth="1"/>
    <col min="7681" max="7681" width="15.875" style="67" customWidth="1"/>
    <col min="7682" max="7682" width="10.375" style="67" customWidth="1"/>
    <col min="7683" max="7683" width="32.125" style="67" customWidth="1"/>
    <col min="7684" max="7684" width="13.625" style="67" customWidth="1"/>
    <col min="7685" max="7685" width="7.125" style="67" customWidth="1"/>
    <col min="7686" max="7686" width="4.375" style="67" customWidth="1"/>
    <col min="7687" max="7689" width="9.375" style="67" customWidth="1"/>
    <col min="7690" max="7932" width="9" style="67"/>
    <col min="7933" max="7933" width="1" style="67" customWidth="1"/>
    <col min="7934" max="7934" width="16.25" style="67" customWidth="1"/>
    <col min="7935" max="7935" width="18.625" style="67" customWidth="1"/>
    <col min="7936" max="7936" width="6" style="67" customWidth="1"/>
    <col min="7937" max="7937" width="15.875" style="67" customWidth="1"/>
    <col min="7938" max="7938" width="10.375" style="67" customWidth="1"/>
    <col min="7939" max="7939" width="32.125" style="67" customWidth="1"/>
    <col min="7940" max="7940" width="13.625" style="67" customWidth="1"/>
    <col min="7941" max="7941" width="7.125" style="67" customWidth="1"/>
    <col min="7942" max="7942" width="4.375" style="67" customWidth="1"/>
    <col min="7943" max="7945" width="9.375" style="67" customWidth="1"/>
    <col min="7946" max="8188" width="9" style="67"/>
    <col min="8189" max="8189" width="1" style="67" customWidth="1"/>
    <col min="8190" max="8190" width="16.25" style="67" customWidth="1"/>
    <col min="8191" max="8191" width="18.625" style="67" customWidth="1"/>
    <col min="8192" max="8192" width="6" style="67" customWidth="1"/>
    <col min="8193" max="8193" width="15.875" style="67" customWidth="1"/>
    <col min="8194" max="8194" width="10.375" style="67" customWidth="1"/>
    <col min="8195" max="8195" width="32.125" style="67" customWidth="1"/>
    <col min="8196" max="8196" width="13.625" style="67" customWidth="1"/>
    <col min="8197" max="8197" width="7.125" style="67" customWidth="1"/>
    <col min="8198" max="8198" width="4.375" style="67" customWidth="1"/>
    <col min="8199" max="8201" width="9.375" style="67" customWidth="1"/>
    <col min="8202" max="8444" width="9" style="67"/>
    <col min="8445" max="8445" width="1" style="67" customWidth="1"/>
    <col min="8446" max="8446" width="16.25" style="67" customWidth="1"/>
    <col min="8447" max="8447" width="18.625" style="67" customWidth="1"/>
    <col min="8448" max="8448" width="6" style="67" customWidth="1"/>
    <col min="8449" max="8449" width="15.875" style="67" customWidth="1"/>
    <col min="8450" max="8450" width="10.375" style="67" customWidth="1"/>
    <col min="8451" max="8451" width="32.125" style="67" customWidth="1"/>
    <col min="8452" max="8452" width="13.625" style="67" customWidth="1"/>
    <col min="8453" max="8453" width="7.125" style="67" customWidth="1"/>
    <col min="8454" max="8454" width="4.375" style="67" customWidth="1"/>
    <col min="8455" max="8457" width="9.375" style="67" customWidth="1"/>
    <col min="8458" max="8700" width="9" style="67"/>
    <col min="8701" max="8701" width="1" style="67" customWidth="1"/>
    <col min="8702" max="8702" width="16.25" style="67" customWidth="1"/>
    <col min="8703" max="8703" width="18.625" style="67" customWidth="1"/>
    <col min="8704" max="8704" width="6" style="67" customWidth="1"/>
    <col min="8705" max="8705" width="15.875" style="67" customWidth="1"/>
    <col min="8706" max="8706" width="10.375" style="67" customWidth="1"/>
    <col min="8707" max="8707" width="32.125" style="67" customWidth="1"/>
    <col min="8708" max="8708" width="13.625" style="67" customWidth="1"/>
    <col min="8709" max="8709" width="7.125" style="67" customWidth="1"/>
    <col min="8710" max="8710" width="4.375" style="67" customWidth="1"/>
    <col min="8711" max="8713" width="9.375" style="67" customWidth="1"/>
    <col min="8714" max="8956" width="9" style="67"/>
    <col min="8957" max="8957" width="1" style="67" customWidth="1"/>
    <col min="8958" max="8958" width="16.25" style="67" customWidth="1"/>
    <col min="8959" max="8959" width="18.625" style="67" customWidth="1"/>
    <col min="8960" max="8960" width="6" style="67" customWidth="1"/>
    <col min="8961" max="8961" width="15.875" style="67" customWidth="1"/>
    <col min="8962" max="8962" width="10.375" style="67" customWidth="1"/>
    <col min="8963" max="8963" width="32.125" style="67" customWidth="1"/>
    <col min="8964" max="8964" width="13.625" style="67" customWidth="1"/>
    <col min="8965" max="8965" width="7.125" style="67" customWidth="1"/>
    <col min="8966" max="8966" width="4.375" style="67" customWidth="1"/>
    <col min="8967" max="8969" width="9.375" style="67" customWidth="1"/>
    <col min="8970" max="9212" width="9" style="67"/>
    <col min="9213" max="9213" width="1" style="67" customWidth="1"/>
    <col min="9214" max="9214" width="16.25" style="67" customWidth="1"/>
    <col min="9215" max="9215" width="18.625" style="67" customWidth="1"/>
    <col min="9216" max="9216" width="6" style="67" customWidth="1"/>
    <col min="9217" max="9217" width="15.875" style="67" customWidth="1"/>
    <col min="9218" max="9218" width="10.375" style="67" customWidth="1"/>
    <col min="9219" max="9219" width="32.125" style="67" customWidth="1"/>
    <col min="9220" max="9220" width="13.625" style="67" customWidth="1"/>
    <col min="9221" max="9221" width="7.125" style="67" customWidth="1"/>
    <col min="9222" max="9222" width="4.375" style="67" customWidth="1"/>
    <col min="9223" max="9225" width="9.375" style="67" customWidth="1"/>
    <col min="9226" max="9468" width="9" style="67"/>
    <col min="9469" max="9469" width="1" style="67" customWidth="1"/>
    <col min="9470" max="9470" width="16.25" style="67" customWidth="1"/>
    <col min="9471" max="9471" width="18.625" style="67" customWidth="1"/>
    <col min="9472" max="9472" width="6" style="67" customWidth="1"/>
    <col min="9473" max="9473" width="15.875" style="67" customWidth="1"/>
    <col min="9474" max="9474" width="10.375" style="67" customWidth="1"/>
    <col min="9475" max="9475" width="32.125" style="67" customWidth="1"/>
    <col min="9476" max="9476" width="13.625" style="67" customWidth="1"/>
    <col min="9477" max="9477" width="7.125" style="67" customWidth="1"/>
    <col min="9478" max="9478" width="4.375" style="67" customWidth="1"/>
    <col min="9479" max="9481" width="9.375" style="67" customWidth="1"/>
    <col min="9482" max="9724" width="9" style="67"/>
    <col min="9725" max="9725" width="1" style="67" customWidth="1"/>
    <col min="9726" max="9726" width="16.25" style="67" customWidth="1"/>
    <col min="9727" max="9727" width="18.625" style="67" customWidth="1"/>
    <col min="9728" max="9728" width="6" style="67" customWidth="1"/>
    <col min="9729" max="9729" width="15.875" style="67" customWidth="1"/>
    <col min="9730" max="9730" width="10.375" style="67" customWidth="1"/>
    <col min="9731" max="9731" width="32.125" style="67" customWidth="1"/>
    <col min="9732" max="9732" width="13.625" style="67" customWidth="1"/>
    <col min="9733" max="9733" width="7.125" style="67" customWidth="1"/>
    <col min="9734" max="9734" width="4.375" style="67" customWidth="1"/>
    <col min="9735" max="9737" width="9.375" style="67" customWidth="1"/>
    <col min="9738" max="9980" width="9" style="67"/>
    <col min="9981" max="9981" width="1" style="67" customWidth="1"/>
    <col min="9982" max="9982" width="16.25" style="67" customWidth="1"/>
    <col min="9983" max="9983" width="18.625" style="67" customWidth="1"/>
    <col min="9984" max="9984" width="6" style="67" customWidth="1"/>
    <col min="9985" max="9985" width="15.875" style="67" customWidth="1"/>
    <col min="9986" max="9986" width="10.375" style="67" customWidth="1"/>
    <col min="9987" max="9987" width="32.125" style="67" customWidth="1"/>
    <col min="9988" max="9988" width="13.625" style="67" customWidth="1"/>
    <col min="9989" max="9989" width="7.125" style="67" customWidth="1"/>
    <col min="9990" max="9990" width="4.375" style="67" customWidth="1"/>
    <col min="9991" max="9993" width="9.375" style="67" customWidth="1"/>
    <col min="9994" max="10236" width="9" style="67"/>
    <col min="10237" max="10237" width="1" style="67" customWidth="1"/>
    <col min="10238" max="10238" width="16.25" style="67" customWidth="1"/>
    <col min="10239" max="10239" width="18.625" style="67" customWidth="1"/>
    <col min="10240" max="10240" width="6" style="67" customWidth="1"/>
    <col min="10241" max="10241" width="15.875" style="67" customWidth="1"/>
    <col min="10242" max="10242" width="10.375" style="67" customWidth="1"/>
    <col min="10243" max="10243" width="32.125" style="67" customWidth="1"/>
    <col min="10244" max="10244" width="13.625" style="67" customWidth="1"/>
    <col min="10245" max="10245" width="7.125" style="67" customWidth="1"/>
    <col min="10246" max="10246" width="4.375" style="67" customWidth="1"/>
    <col min="10247" max="10249" width="9.375" style="67" customWidth="1"/>
    <col min="10250" max="10492" width="9" style="67"/>
    <col min="10493" max="10493" width="1" style="67" customWidth="1"/>
    <col min="10494" max="10494" width="16.25" style="67" customWidth="1"/>
    <col min="10495" max="10495" width="18.625" style="67" customWidth="1"/>
    <col min="10496" max="10496" width="6" style="67" customWidth="1"/>
    <col min="10497" max="10497" width="15.875" style="67" customWidth="1"/>
    <col min="10498" max="10498" width="10.375" style="67" customWidth="1"/>
    <col min="10499" max="10499" width="32.125" style="67" customWidth="1"/>
    <col min="10500" max="10500" width="13.625" style="67" customWidth="1"/>
    <col min="10501" max="10501" width="7.125" style="67" customWidth="1"/>
    <col min="10502" max="10502" width="4.375" style="67" customWidth="1"/>
    <col min="10503" max="10505" width="9.375" style="67" customWidth="1"/>
    <col min="10506" max="10748" width="9" style="67"/>
    <col min="10749" max="10749" width="1" style="67" customWidth="1"/>
    <col min="10750" max="10750" width="16.25" style="67" customWidth="1"/>
    <col min="10751" max="10751" width="18.625" style="67" customWidth="1"/>
    <col min="10752" max="10752" width="6" style="67" customWidth="1"/>
    <col min="10753" max="10753" width="15.875" style="67" customWidth="1"/>
    <col min="10754" max="10754" width="10.375" style="67" customWidth="1"/>
    <col min="10755" max="10755" width="32.125" style="67" customWidth="1"/>
    <col min="10756" max="10756" width="13.625" style="67" customWidth="1"/>
    <col min="10757" max="10757" width="7.125" style="67" customWidth="1"/>
    <col min="10758" max="10758" width="4.375" style="67" customWidth="1"/>
    <col min="10759" max="10761" width="9.375" style="67" customWidth="1"/>
    <col min="10762" max="11004" width="9" style="67"/>
    <col min="11005" max="11005" width="1" style="67" customWidth="1"/>
    <col min="11006" max="11006" width="16.25" style="67" customWidth="1"/>
    <col min="11007" max="11007" width="18.625" style="67" customWidth="1"/>
    <col min="11008" max="11008" width="6" style="67" customWidth="1"/>
    <col min="11009" max="11009" width="15.875" style="67" customWidth="1"/>
    <col min="11010" max="11010" width="10.375" style="67" customWidth="1"/>
    <col min="11011" max="11011" width="32.125" style="67" customWidth="1"/>
    <col min="11012" max="11012" width="13.625" style="67" customWidth="1"/>
    <col min="11013" max="11013" width="7.125" style="67" customWidth="1"/>
    <col min="11014" max="11014" width="4.375" style="67" customWidth="1"/>
    <col min="11015" max="11017" width="9.375" style="67" customWidth="1"/>
    <col min="11018" max="11260" width="9" style="67"/>
    <col min="11261" max="11261" width="1" style="67" customWidth="1"/>
    <col min="11262" max="11262" width="16.25" style="67" customWidth="1"/>
    <col min="11263" max="11263" width="18.625" style="67" customWidth="1"/>
    <col min="11264" max="11264" width="6" style="67" customWidth="1"/>
    <col min="11265" max="11265" width="15.875" style="67" customWidth="1"/>
    <col min="11266" max="11266" width="10.375" style="67" customWidth="1"/>
    <col min="11267" max="11267" width="32.125" style="67" customWidth="1"/>
    <col min="11268" max="11268" width="13.625" style="67" customWidth="1"/>
    <col min="11269" max="11269" width="7.125" style="67" customWidth="1"/>
    <col min="11270" max="11270" width="4.375" style="67" customWidth="1"/>
    <col min="11271" max="11273" width="9.375" style="67" customWidth="1"/>
    <col min="11274" max="11516" width="9" style="67"/>
    <col min="11517" max="11517" width="1" style="67" customWidth="1"/>
    <col min="11518" max="11518" width="16.25" style="67" customWidth="1"/>
    <col min="11519" max="11519" width="18.625" style="67" customWidth="1"/>
    <col min="11520" max="11520" width="6" style="67" customWidth="1"/>
    <col min="11521" max="11521" width="15.875" style="67" customWidth="1"/>
    <col min="11522" max="11522" width="10.375" style="67" customWidth="1"/>
    <col min="11523" max="11523" width="32.125" style="67" customWidth="1"/>
    <col min="11524" max="11524" width="13.625" style="67" customWidth="1"/>
    <col min="11525" max="11525" width="7.125" style="67" customWidth="1"/>
    <col min="11526" max="11526" width="4.375" style="67" customWidth="1"/>
    <col min="11527" max="11529" width="9.375" style="67" customWidth="1"/>
    <col min="11530" max="11772" width="9" style="67"/>
    <col min="11773" max="11773" width="1" style="67" customWidth="1"/>
    <col min="11774" max="11774" width="16.25" style="67" customWidth="1"/>
    <col min="11775" max="11775" width="18.625" style="67" customWidth="1"/>
    <col min="11776" max="11776" width="6" style="67" customWidth="1"/>
    <col min="11777" max="11777" width="15.875" style="67" customWidth="1"/>
    <col min="11778" max="11778" width="10.375" style="67" customWidth="1"/>
    <col min="11779" max="11779" width="32.125" style="67" customWidth="1"/>
    <col min="11780" max="11780" width="13.625" style="67" customWidth="1"/>
    <col min="11781" max="11781" width="7.125" style="67" customWidth="1"/>
    <col min="11782" max="11782" width="4.375" style="67" customWidth="1"/>
    <col min="11783" max="11785" width="9.375" style="67" customWidth="1"/>
    <col min="11786" max="12028" width="9" style="67"/>
    <col min="12029" max="12029" width="1" style="67" customWidth="1"/>
    <col min="12030" max="12030" width="16.25" style="67" customWidth="1"/>
    <col min="12031" max="12031" width="18.625" style="67" customWidth="1"/>
    <col min="12032" max="12032" width="6" style="67" customWidth="1"/>
    <col min="12033" max="12033" width="15.875" style="67" customWidth="1"/>
    <col min="12034" max="12034" width="10.375" style="67" customWidth="1"/>
    <col min="12035" max="12035" width="32.125" style="67" customWidth="1"/>
    <col min="12036" max="12036" width="13.625" style="67" customWidth="1"/>
    <col min="12037" max="12037" width="7.125" style="67" customWidth="1"/>
    <col min="12038" max="12038" width="4.375" style="67" customWidth="1"/>
    <col min="12039" max="12041" width="9.375" style="67" customWidth="1"/>
    <col min="12042" max="12284" width="9" style="67"/>
    <col min="12285" max="12285" width="1" style="67" customWidth="1"/>
    <col min="12286" max="12286" width="16.25" style="67" customWidth="1"/>
    <col min="12287" max="12287" width="18.625" style="67" customWidth="1"/>
    <col min="12288" max="12288" width="6" style="67" customWidth="1"/>
    <col min="12289" max="12289" width="15.875" style="67" customWidth="1"/>
    <col min="12290" max="12290" width="10.375" style="67" customWidth="1"/>
    <col min="12291" max="12291" width="32.125" style="67" customWidth="1"/>
    <col min="12292" max="12292" width="13.625" style="67" customWidth="1"/>
    <col min="12293" max="12293" width="7.125" style="67" customWidth="1"/>
    <col min="12294" max="12294" width="4.375" style="67" customWidth="1"/>
    <col min="12295" max="12297" width="9.375" style="67" customWidth="1"/>
    <col min="12298" max="12540" width="9" style="67"/>
    <col min="12541" max="12541" width="1" style="67" customWidth="1"/>
    <col min="12542" max="12542" width="16.25" style="67" customWidth="1"/>
    <col min="12543" max="12543" width="18.625" style="67" customWidth="1"/>
    <col min="12544" max="12544" width="6" style="67" customWidth="1"/>
    <col min="12545" max="12545" width="15.875" style="67" customWidth="1"/>
    <col min="12546" max="12546" width="10.375" style="67" customWidth="1"/>
    <col min="12547" max="12547" width="32.125" style="67" customWidth="1"/>
    <col min="12548" max="12548" width="13.625" style="67" customWidth="1"/>
    <col min="12549" max="12549" width="7.125" style="67" customWidth="1"/>
    <col min="12550" max="12550" width="4.375" style="67" customWidth="1"/>
    <col min="12551" max="12553" width="9.375" style="67" customWidth="1"/>
    <col min="12554" max="12796" width="9" style="67"/>
    <col min="12797" max="12797" width="1" style="67" customWidth="1"/>
    <col min="12798" max="12798" width="16.25" style="67" customWidth="1"/>
    <col min="12799" max="12799" width="18.625" style="67" customWidth="1"/>
    <col min="12800" max="12800" width="6" style="67" customWidth="1"/>
    <col min="12801" max="12801" width="15.875" style="67" customWidth="1"/>
    <col min="12802" max="12802" width="10.375" style="67" customWidth="1"/>
    <col min="12803" max="12803" width="32.125" style="67" customWidth="1"/>
    <col min="12804" max="12804" width="13.625" style="67" customWidth="1"/>
    <col min="12805" max="12805" width="7.125" style="67" customWidth="1"/>
    <col min="12806" max="12806" width="4.375" style="67" customWidth="1"/>
    <col min="12807" max="12809" width="9.375" style="67" customWidth="1"/>
    <col min="12810" max="13052" width="9" style="67"/>
    <col min="13053" max="13053" width="1" style="67" customWidth="1"/>
    <col min="13054" max="13054" width="16.25" style="67" customWidth="1"/>
    <col min="13055" max="13055" width="18.625" style="67" customWidth="1"/>
    <col min="13056" max="13056" width="6" style="67" customWidth="1"/>
    <col min="13057" max="13057" width="15.875" style="67" customWidth="1"/>
    <col min="13058" max="13058" width="10.375" style="67" customWidth="1"/>
    <col min="13059" max="13059" width="32.125" style="67" customWidth="1"/>
    <col min="13060" max="13060" width="13.625" style="67" customWidth="1"/>
    <col min="13061" max="13061" width="7.125" style="67" customWidth="1"/>
    <col min="13062" max="13062" width="4.375" style="67" customWidth="1"/>
    <col min="13063" max="13065" width="9.375" style="67" customWidth="1"/>
    <col min="13066" max="13308" width="9" style="67"/>
    <col min="13309" max="13309" width="1" style="67" customWidth="1"/>
    <col min="13310" max="13310" width="16.25" style="67" customWidth="1"/>
    <col min="13311" max="13311" width="18.625" style="67" customWidth="1"/>
    <col min="13312" max="13312" width="6" style="67" customWidth="1"/>
    <col min="13313" max="13313" width="15.875" style="67" customWidth="1"/>
    <col min="13314" max="13314" width="10.375" style="67" customWidth="1"/>
    <col min="13315" max="13315" width="32.125" style="67" customWidth="1"/>
    <col min="13316" max="13316" width="13.625" style="67" customWidth="1"/>
    <col min="13317" max="13317" width="7.125" style="67" customWidth="1"/>
    <col min="13318" max="13318" width="4.375" style="67" customWidth="1"/>
    <col min="13319" max="13321" width="9.375" style="67" customWidth="1"/>
    <col min="13322" max="13564" width="9" style="67"/>
    <col min="13565" max="13565" width="1" style="67" customWidth="1"/>
    <col min="13566" max="13566" width="16.25" style="67" customWidth="1"/>
    <col min="13567" max="13567" width="18.625" style="67" customWidth="1"/>
    <col min="13568" max="13568" width="6" style="67" customWidth="1"/>
    <col min="13569" max="13569" width="15.875" style="67" customWidth="1"/>
    <col min="13570" max="13570" width="10.375" style="67" customWidth="1"/>
    <col min="13571" max="13571" width="32.125" style="67" customWidth="1"/>
    <col min="13572" max="13572" width="13.625" style="67" customWidth="1"/>
    <col min="13573" max="13573" width="7.125" style="67" customWidth="1"/>
    <col min="13574" max="13574" width="4.375" style="67" customWidth="1"/>
    <col min="13575" max="13577" width="9.375" style="67" customWidth="1"/>
    <col min="13578" max="13820" width="9" style="67"/>
    <col min="13821" max="13821" width="1" style="67" customWidth="1"/>
    <col min="13822" max="13822" width="16.25" style="67" customWidth="1"/>
    <col min="13823" max="13823" width="18.625" style="67" customWidth="1"/>
    <col min="13824" max="13824" width="6" style="67" customWidth="1"/>
    <col min="13825" max="13825" width="15.875" style="67" customWidth="1"/>
    <col min="13826" max="13826" width="10.375" style="67" customWidth="1"/>
    <col min="13827" max="13827" width="32.125" style="67" customWidth="1"/>
    <col min="13828" max="13828" width="13.625" style="67" customWidth="1"/>
    <col min="13829" max="13829" width="7.125" style="67" customWidth="1"/>
    <col min="13830" max="13830" width="4.375" style="67" customWidth="1"/>
    <col min="13831" max="13833" width="9.375" style="67" customWidth="1"/>
    <col min="13834" max="14076" width="9" style="67"/>
    <col min="14077" max="14077" width="1" style="67" customWidth="1"/>
    <col min="14078" max="14078" width="16.25" style="67" customWidth="1"/>
    <col min="14079" max="14079" width="18.625" style="67" customWidth="1"/>
    <col min="14080" max="14080" width="6" style="67" customWidth="1"/>
    <col min="14081" max="14081" width="15.875" style="67" customWidth="1"/>
    <col min="14082" max="14082" width="10.375" style="67" customWidth="1"/>
    <col min="14083" max="14083" width="32.125" style="67" customWidth="1"/>
    <col min="14084" max="14084" width="13.625" style="67" customWidth="1"/>
    <col min="14085" max="14085" width="7.125" style="67" customWidth="1"/>
    <col min="14086" max="14086" width="4.375" style="67" customWidth="1"/>
    <col min="14087" max="14089" width="9.375" style="67" customWidth="1"/>
    <col min="14090" max="14332" width="9" style="67"/>
    <col min="14333" max="14333" width="1" style="67" customWidth="1"/>
    <col min="14334" max="14334" width="16.25" style="67" customWidth="1"/>
    <col min="14335" max="14335" width="18.625" style="67" customWidth="1"/>
    <col min="14336" max="14336" width="6" style="67" customWidth="1"/>
    <col min="14337" max="14337" width="15.875" style="67" customWidth="1"/>
    <col min="14338" max="14338" width="10.375" style="67" customWidth="1"/>
    <col min="14339" max="14339" width="32.125" style="67" customWidth="1"/>
    <col min="14340" max="14340" width="13.625" style="67" customWidth="1"/>
    <col min="14341" max="14341" width="7.125" style="67" customWidth="1"/>
    <col min="14342" max="14342" width="4.375" style="67" customWidth="1"/>
    <col min="14343" max="14345" width="9.375" style="67" customWidth="1"/>
    <col min="14346" max="14588" width="9" style="67"/>
    <col min="14589" max="14589" width="1" style="67" customWidth="1"/>
    <col min="14590" max="14590" width="16.25" style="67" customWidth="1"/>
    <col min="14591" max="14591" width="18.625" style="67" customWidth="1"/>
    <col min="14592" max="14592" width="6" style="67" customWidth="1"/>
    <col min="14593" max="14593" width="15.875" style="67" customWidth="1"/>
    <col min="14594" max="14594" width="10.375" style="67" customWidth="1"/>
    <col min="14595" max="14595" width="32.125" style="67" customWidth="1"/>
    <col min="14596" max="14596" width="13.625" style="67" customWidth="1"/>
    <col min="14597" max="14597" width="7.125" style="67" customWidth="1"/>
    <col min="14598" max="14598" width="4.375" style="67" customWidth="1"/>
    <col min="14599" max="14601" width="9.375" style="67" customWidth="1"/>
    <col min="14602" max="14844" width="9" style="67"/>
    <col min="14845" max="14845" width="1" style="67" customWidth="1"/>
    <col min="14846" max="14846" width="16.25" style="67" customWidth="1"/>
    <col min="14847" max="14847" width="18.625" style="67" customWidth="1"/>
    <col min="14848" max="14848" width="6" style="67" customWidth="1"/>
    <col min="14849" max="14849" width="15.875" style="67" customWidth="1"/>
    <col min="14850" max="14850" width="10.375" style="67" customWidth="1"/>
    <col min="14851" max="14851" width="32.125" style="67" customWidth="1"/>
    <col min="14852" max="14852" width="13.625" style="67" customWidth="1"/>
    <col min="14853" max="14853" width="7.125" style="67" customWidth="1"/>
    <col min="14854" max="14854" width="4.375" style="67" customWidth="1"/>
    <col min="14855" max="14857" width="9.375" style="67" customWidth="1"/>
    <col min="14858" max="15100" width="9" style="67"/>
    <col min="15101" max="15101" width="1" style="67" customWidth="1"/>
    <col min="15102" max="15102" width="16.25" style="67" customWidth="1"/>
    <col min="15103" max="15103" width="18.625" style="67" customWidth="1"/>
    <col min="15104" max="15104" width="6" style="67" customWidth="1"/>
    <col min="15105" max="15105" width="15.875" style="67" customWidth="1"/>
    <col min="15106" max="15106" width="10.375" style="67" customWidth="1"/>
    <col min="15107" max="15107" width="32.125" style="67" customWidth="1"/>
    <col min="15108" max="15108" width="13.625" style="67" customWidth="1"/>
    <col min="15109" max="15109" width="7.125" style="67" customWidth="1"/>
    <col min="15110" max="15110" width="4.375" style="67" customWidth="1"/>
    <col min="15111" max="15113" width="9.375" style="67" customWidth="1"/>
    <col min="15114" max="15356" width="9" style="67"/>
    <col min="15357" max="15357" width="1" style="67" customWidth="1"/>
    <col min="15358" max="15358" width="16.25" style="67" customWidth="1"/>
    <col min="15359" max="15359" width="18.625" style="67" customWidth="1"/>
    <col min="15360" max="15360" width="6" style="67" customWidth="1"/>
    <col min="15361" max="15361" width="15.875" style="67" customWidth="1"/>
    <col min="15362" max="15362" width="10.375" style="67" customWidth="1"/>
    <col min="15363" max="15363" width="32.125" style="67" customWidth="1"/>
    <col min="15364" max="15364" width="13.625" style="67" customWidth="1"/>
    <col min="15365" max="15365" width="7.125" style="67" customWidth="1"/>
    <col min="15366" max="15366" width="4.375" style="67" customWidth="1"/>
    <col min="15367" max="15369" width="9.375" style="67" customWidth="1"/>
    <col min="15370" max="15612" width="9" style="67"/>
    <col min="15613" max="15613" width="1" style="67" customWidth="1"/>
    <col min="15614" max="15614" width="16.25" style="67" customWidth="1"/>
    <col min="15615" max="15615" width="18.625" style="67" customWidth="1"/>
    <col min="15616" max="15616" width="6" style="67" customWidth="1"/>
    <col min="15617" max="15617" width="15.875" style="67" customWidth="1"/>
    <col min="15618" max="15618" width="10.375" style="67" customWidth="1"/>
    <col min="15619" max="15619" width="32.125" style="67" customWidth="1"/>
    <col min="15620" max="15620" width="13.625" style="67" customWidth="1"/>
    <col min="15621" max="15621" width="7.125" style="67" customWidth="1"/>
    <col min="15622" max="15622" width="4.375" style="67" customWidth="1"/>
    <col min="15623" max="15625" width="9.375" style="67" customWidth="1"/>
    <col min="15626" max="15868" width="9" style="67"/>
    <col min="15869" max="15869" width="1" style="67" customWidth="1"/>
    <col min="15870" max="15870" width="16.25" style="67" customWidth="1"/>
    <col min="15871" max="15871" width="18.625" style="67" customWidth="1"/>
    <col min="15872" max="15872" width="6" style="67" customWidth="1"/>
    <col min="15873" max="15873" width="15.875" style="67" customWidth="1"/>
    <col min="15874" max="15874" width="10.375" style="67" customWidth="1"/>
    <col min="15875" max="15875" width="32.125" style="67" customWidth="1"/>
    <col min="15876" max="15876" width="13.625" style="67" customWidth="1"/>
    <col min="15877" max="15877" width="7.125" style="67" customWidth="1"/>
    <col min="15878" max="15878" width="4.375" style="67" customWidth="1"/>
    <col min="15879" max="15881" width="9.375" style="67" customWidth="1"/>
    <col min="15882" max="16124" width="9" style="67"/>
    <col min="16125" max="16125" width="1" style="67" customWidth="1"/>
    <col min="16126" max="16126" width="16.25" style="67" customWidth="1"/>
    <col min="16127" max="16127" width="18.625" style="67" customWidth="1"/>
    <col min="16128" max="16128" width="6" style="67" customWidth="1"/>
    <col min="16129" max="16129" width="15.875" style="67" customWidth="1"/>
    <col min="16130" max="16130" width="10.375" style="67" customWidth="1"/>
    <col min="16131" max="16131" width="32.125" style="67" customWidth="1"/>
    <col min="16132" max="16132" width="13.625" style="67" customWidth="1"/>
    <col min="16133" max="16133" width="7.125" style="67" customWidth="1"/>
    <col min="16134" max="16134" width="4.375" style="67" customWidth="1"/>
    <col min="16135" max="16137" width="9.375" style="67" customWidth="1"/>
    <col min="16138" max="16384" width="9" style="67"/>
  </cols>
  <sheetData>
    <row r="1" spans="1:8" s="68" customFormat="1" ht="35.25" customHeight="1" x14ac:dyDescent="0.4">
      <c r="D1" s="360" t="s">
        <v>199</v>
      </c>
      <c r="F1" s="359"/>
      <c r="G1" s="358" t="s">
        <v>193</v>
      </c>
    </row>
    <row r="2" spans="1:8" s="31" customFormat="1" ht="60" customHeight="1" x14ac:dyDescent="0.25">
      <c r="B2" s="290" t="s">
        <v>130</v>
      </c>
      <c r="C2" s="288"/>
      <c r="D2" s="436"/>
      <c r="E2" s="436"/>
      <c r="F2" s="143"/>
    </row>
    <row r="3" spans="1:8" ht="37.5" customHeight="1" x14ac:dyDescent="0.25">
      <c r="B3" s="290" t="s">
        <v>190</v>
      </c>
      <c r="C3" s="289"/>
      <c r="E3" s="59"/>
      <c r="F3" s="59"/>
      <c r="H3" s="60">
        <v>0.4</v>
      </c>
    </row>
    <row r="4" spans="1:8" s="38" customFormat="1" ht="50.25" customHeight="1" x14ac:dyDescent="0.25">
      <c r="B4" s="144" t="s">
        <v>88</v>
      </c>
      <c r="C4" s="144" t="s">
        <v>90</v>
      </c>
      <c r="D4" s="144" t="s">
        <v>99</v>
      </c>
      <c r="E4" s="144" t="s">
        <v>87</v>
      </c>
      <c r="F4" s="144" t="s">
        <v>100</v>
      </c>
      <c r="G4" s="145" t="s">
        <v>132</v>
      </c>
    </row>
    <row r="5" spans="1:8" s="38" customFormat="1" ht="39.75" customHeight="1" x14ac:dyDescent="0.2">
      <c r="A5" s="437" t="s">
        <v>20</v>
      </c>
      <c r="B5" s="267" t="s">
        <v>122</v>
      </c>
      <c r="C5" s="267" t="s">
        <v>159</v>
      </c>
      <c r="D5" s="267" t="s">
        <v>124</v>
      </c>
      <c r="E5" s="267" t="s">
        <v>158</v>
      </c>
      <c r="F5" s="291">
        <v>2006</v>
      </c>
      <c r="G5" s="292">
        <v>375000</v>
      </c>
    </row>
    <row r="6" spans="1:8" s="38" customFormat="1" ht="38.25" customHeight="1" thickBot="1" x14ac:dyDescent="0.25">
      <c r="A6" s="437"/>
      <c r="B6" s="270" t="s">
        <v>123</v>
      </c>
      <c r="C6" s="270" t="s">
        <v>160</v>
      </c>
      <c r="D6" s="270" t="s">
        <v>162</v>
      </c>
      <c r="E6" s="267" t="s">
        <v>161</v>
      </c>
      <c r="F6" s="293">
        <v>998</v>
      </c>
      <c r="G6" s="292">
        <v>8300</v>
      </c>
    </row>
    <row r="7" spans="1:8" s="38" customFormat="1" ht="13.15" hidden="1" x14ac:dyDescent="0.25">
      <c r="B7" s="263" t="s">
        <v>108</v>
      </c>
      <c r="C7" s="237" t="s">
        <v>90</v>
      </c>
      <c r="D7" s="237" t="s">
        <v>11</v>
      </c>
      <c r="E7" s="237" t="s">
        <v>109</v>
      </c>
      <c r="F7" s="237" t="s">
        <v>110</v>
      </c>
      <c r="G7" s="266" t="s">
        <v>111</v>
      </c>
    </row>
    <row r="8" spans="1:8" s="38" customFormat="1" x14ac:dyDescent="0.2">
      <c r="B8" s="160" t="s">
        <v>123</v>
      </c>
      <c r="C8" s="160" t="s">
        <v>221</v>
      </c>
      <c r="D8" s="160" t="s">
        <v>222</v>
      </c>
      <c r="E8" s="160" t="s">
        <v>223</v>
      </c>
      <c r="F8" s="348" t="s">
        <v>224</v>
      </c>
      <c r="G8" s="161">
        <v>1000</v>
      </c>
    </row>
    <row r="9" spans="1:8" s="38" customFormat="1" ht="13.15" x14ac:dyDescent="0.25">
      <c r="B9" s="160" t="s">
        <v>21</v>
      </c>
      <c r="C9" s="160"/>
      <c r="D9" s="160"/>
      <c r="E9" s="160"/>
      <c r="F9" s="348"/>
      <c r="G9" s="161"/>
      <c r="H9" s="33"/>
    </row>
    <row r="10" spans="1:8" s="38" customFormat="1" ht="13.15" x14ac:dyDescent="0.25">
      <c r="B10" s="160" t="s">
        <v>21</v>
      </c>
      <c r="C10" s="160"/>
      <c r="D10" s="294"/>
      <c r="E10" s="160"/>
      <c r="F10" s="348"/>
      <c r="G10" s="161"/>
    </row>
    <row r="11" spans="1:8" s="38" customFormat="1" ht="13.15" x14ac:dyDescent="0.25">
      <c r="B11" s="160" t="s">
        <v>21</v>
      </c>
      <c r="C11" s="160"/>
      <c r="D11" s="160"/>
      <c r="E11" s="160"/>
      <c r="F11" s="348"/>
      <c r="G11" s="161"/>
    </row>
    <row r="12" spans="1:8" s="38" customFormat="1" ht="13.15" x14ac:dyDescent="0.25">
      <c r="B12" s="160" t="s">
        <v>21</v>
      </c>
      <c r="C12" s="160"/>
      <c r="D12" s="160"/>
      <c r="E12" s="160"/>
      <c r="F12" s="348"/>
      <c r="G12" s="161"/>
    </row>
    <row r="13" spans="1:8" s="38" customFormat="1" ht="15" customHeight="1" x14ac:dyDescent="0.25">
      <c r="B13" s="160" t="s">
        <v>21</v>
      </c>
      <c r="C13" s="160"/>
      <c r="D13" s="160"/>
      <c r="E13" s="160"/>
      <c r="F13" s="348"/>
      <c r="G13" s="161"/>
    </row>
    <row r="14" spans="1:8" s="38" customFormat="1" ht="13.15" x14ac:dyDescent="0.25">
      <c r="B14" s="160" t="s">
        <v>21</v>
      </c>
      <c r="C14" s="160"/>
      <c r="D14" s="160"/>
      <c r="E14" s="160"/>
      <c r="F14" s="348"/>
      <c r="G14" s="161"/>
    </row>
    <row r="15" spans="1:8" s="38" customFormat="1" ht="13.15" x14ac:dyDescent="0.25">
      <c r="B15" s="160" t="s">
        <v>21</v>
      </c>
      <c r="C15" s="160"/>
      <c r="D15" s="160"/>
      <c r="E15" s="160"/>
      <c r="F15" s="348"/>
      <c r="G15" s="161"/>
    </row>
    <row r="16" spans="1:8" s="38" customFormat="1" ht="13.15" x14ac:dyDescent="0.25">
      <c r="B16" s="160" t="s">
        <v>21</v>
      </c>
      <c r="C16" s="160"/>
      <c r="D16" s="160"/>
      <c r="E16" s="160"/>
      <c r="F16" s="348"/>
      <c r="G16" s="161"/>
    </row>
    <row r="17" spans="2:7" s="38" customFormat="1" ht="13.15" x14ac:dyDescent="0.25">
      <c r="B17" s="160" t="s">
        <v>21</v>
      </c>
      <c r="C17" s="160"/>
      <c r="D17" s="160"/>
      <c r="E17" s="160"/>
      <c r="F17" s="348"/>
      <c r="G17" s="161"/>
    </row>
    <row r="18" spans="2:7" ht="13.15" x14ac:dyDescent="0.25">
      <c r="B18" s="160" t="s">
        <v>21</v>
      </c>
      <c r="C18" s="160"/>
      <c r="D18" s="160"/>
      <c r="E18" s="160"/>
      <c r="F18" s="348"/>
      <c r="G18" s="161"/>
    </row>
    <row r="19" spans="2:7" ht="13.15" x14ac:dyDescent="0.25">
      <c r="B19" s="160" t="s">
        <v>21</v>
      </c>
      <c r="C19" s="160"/>
      <c r="D19" s="160"/>
      <c r="E19" s="160"/>
      <c r="F19" s="348"/>
      <c r="G19" s="268"/>
    </row>
    <row r="20" spans="2:7" ht="13.15" x14ac:dyDescent="0.25">
      <c r="B20" s="160" t="s">
        <v>21</v>
      </c>
      <c r="C20" s="160"/>
      <c r="D20" s="160"/>
      <c r="E20" s="160"/>
      <c r="F20" s="348"/>
      <c r="G20" s="268"/>
    </row>
    <row r="21" spans="2:7" ht="13.15" x14ac:dyDescent="0.25">
      <c r="B21" s="160" t="s">
        <v>21</v>
      </c>
      <c r="C21" s="160"/>
      <c r="D21" s="160"/>
      <c r="E21" s="160"/>
      <c r="F21" s="348"/>
      <c r="G21" s="268"/>
    </row>
    <row r="22" spans="2:7" ht="13.15" x14ac:dyDescent="0.25">
      <c r="B22" s="160" t="s">
        <v>21</v>
      </c>
      <c r="C22" s="160"/>
      <c r="D22" s="160"/>
      <c r="E22" s="160"/>
      <c r="F22" s="348"/>
      <c r="G22" s="268"/>
    </row>
    <row r="23" spans="2:7" ht="13.15" x14ac:dyDescent="0.25">
      <c r="B23" s="160" t="s">
        <v>21</v>
      </c>
      <c r="C23" s="160"/>
      <c r="D23" s="160"/>
      <c r="E23" s="160"/>
      <c r="F23" s="348"/>
      <c r="G23" s="268"/>
    </row>
    <row r="24" spans="2:7" ht="13.15" x14ac:dyDescent="0.25">
      <c r="B24" s="160" t="s">
        <v>21</v>
      </c>
      <c r="C24" s="160"/>
      <c r="D24" s="160"/>
      <c r="E24" s="160"/>
      <c r="F24" s="348"/>
      <c r="G24" s="268"/>
    </row>
    <row r="25" spans="2:7" ht="12" customHeight="1" x14ac:dyDescent="0.25">
      <c r="B25" s="160" t="s">
        <v>21</v>
      </c>
      <c r="C25" s="160"/>
      <c r="D25" s="160"/>
      <c r="E25" s="160"/>
      <c r="F25" s="348"/>
      <c r="G25" s="268"/>
    </row>
    <row r="26" spans="2:7" x14ac:dyDescent="0.2">
      <c r="B26" s="160" t="s">
        <v>21</v>
      </c>
      <c r="C26" s="160"/>
      <c r="D26" s="160"/>
      <c r="E26" s="160"/>
      <c r="F26" s="348"/>
      <c r="G26" s="269"/>
    </row>
    <row r="27" spans="2:7" x14ac:dyDescent="0.2">
      <c r="B27" s="160" t="s">
        <v>21</v>
      </c>
      <c r="C27" s="160"/>
      <c r="D27" s="160"/>
      <c r="E27" s="160"/>
      <c r="F27" s="348"/>
      <c r="G27" s="268"/>
    </row>
    <row r="28" spans="2:7" x14ac:dyDescent="0.2">
      <c r="B28" s="160" t="s">
        <v>21</v>
      </c>
      <c r="C28" s="160"/>
      <c r="D28" s="160"/>
      <c r="E28" s="160"/>
      <c r="F28" s="348"/>
      <c r="G28" s="268"/>
    </row>
    <row r="29" spans="2:7" x14ac:dyDescent="0.2">
      <c r="B29" s="160" t="s">
        <v>21</v>
      </c>
      <c r="C29" s="160"/>
      <c r="D29" s="160"/>
      <c r="E29" s="160"/>
      <c r="F29" s="348"/>
      <c r="G29" s="268"/>
    </row>
    <row r="30" spans="2:7" x14ac:dyDescent="0.2">
      <c r="B30" s="160" t="s">
        <v>21</v>
      </c>
      <c r="C30" s="160"/>
      <c r="D30" s="160"/>
      <c r="E30" s="160"/>
      <c r="F30" s="348"/>
      <c r="G30" s="268"/>
    </row>
    <row r="31" spans="2:7" x14ac:dyDescent="0.2">
      <c r="B31" s="160" t="s">
        <v>21</v>
      </c>
      <c r="C31" s="160"/>
      <c r="D31" s="160"/>
      <c r="E31" s="160"/>
      <c r="F31" s="348"/>
      <c r="G31" s="268"/>
    </row>
    <row r="32" spans="2:7" x14ac:dyDescent="0.2">
      <c r="B32" s="160" t="s">
        <v>21</v>
      </c>
      <c r="C32" s="160"/>
      <c r="D32" s="160"/>
      <c r="E32" s="160"/>
      <c r="F32" s="348"/>
      <c r="G32" s="268"/>
    </row>
    <row r="33" spans="6:7" ht="15.75" thickBot="1" x14ac:dyDescent="0.25">
      <c r="F33" s="264" t="s">
        <v>63</v>
      </c>
      <c r="G33" s="265">
        <f>SUM(EstCost[CostEst])</f>
        <v>1000</v>
      </c>
    </row>
    <row r="34" spans="6:7" ht="13.5" thickTop="1" x14ac:dyDescent="0.2"/>
  </sheetData>
  <sheetProtection selectLockedCells="1"/>
  <mergeCells count="2">
    <mergeCell ref="D2:E2"/>
    <mergeCell ref="A5:A6"/>
  </mergeCells>
  <conditionalFormatting sqref="F8:F32">
    <cfRule type="expression" dxfId="12" priority="1" stopIfTrue="1">
      <formula>$G8=0</formula>
    </cfRule>
    <cfRule type="expression" dxfId="11" priority="2">
      <formula>$F8=0</formula>
    </cfRule>
  </conditionalFormatting>
  <dataValidations count="1">
    <dataValidation type="list" allowBlank="1" showInputMessage="1" showErrorMessage="1" sqref="B8:B32">
      <formula1>"Select One, Capital, Operating"</formula1>
    </dataValidation>
  </dataValidations>
  <pageMargins left="0.25" right="0.25" top="0.90648148148148144" bottom="0.75" header="0.3" footer="0.3"/>
  <pageSetup paperSize="5" scale="76" orientation="landscape" r:id="rId1"/>
  <headerFooter>
    <oddHeader>&amp;L&amp;G&amp;C&amp;"Arial,Bold"&amp;18&amp;K000000 Future Estimated Costs&amp;R&amp;"Arial,Bold"Municipal Disaster Recovery Assistance Program</oddHeader>
    <oddFooter>&amp;RPage &amp;P of &amp;N</oddFooter>
  </headerFooter>
  <drawing r:id="rId2"/>
  <legacyDrawingHF r:id="rId3"/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  <pageSetUpPr fitToPage="1"/>
  </sheetPr>
  <dimension ref="B1:G31"/>
  <sheetViews>
    <sheetView showGridLines="0" view="pageLayout" zoomScale="90" zoomScaleNormal="100" zoomScalePageLayoutView="90" workbookViewId="0">
      <selection activeCell="D17" sqref="D17"/>
    </sheetView>
  </sheetViews>
  <sheetFormatPr defaultRowHeight="12.75" x14ac:dyDescent="0.2"/>
  <cols>
    <col min="1" max="1" width="2.625" style="67" customWidth="1"/>
    <col min="2" max="2" width="16.375" style="67" customWidth="1"/>
    <col min="3" max="3" width="14.375" style="67" customWidth="1"/>
    <col min="4" max="4" width="66.375" style="67" customWidth="1"/>
    <col min="5" max="5" width="29.25" style="67" customWidth="1"/>
    <col min="6" max="8" width="10.625" style="67" customWidth="1"/>
    <col min="9" max="251" width="8" style="67"/>
    <col min="252" max="252" width="1" style="67" customWidth="1"/>
    <col min="253" max="253" width="16.25" style="67" customWidth="1"/>
    <col min="254" max="254" width="18.625" style="67" customWidth="1"/>
    <col min="255" max="255" width="6" style="67" customWidth="1"/>
    <col min="256" max="256" width="15.875" style="67" customWidth="1"/>
    <col min="257" max="257" width="10.375" style="67" customWidth="1"/>
    <col min="258" max="258" width="32.125" style="67" customWidth="1"/>
    <col min="259" max="259" width="13.625" style="67" customWidth="1"/>
    <col min="260" max="260" width="7.125" style="67" customWidth="1"/>
    <col min="261" max="261" width="4.375" style="67" customWidth="1"/>
    <col min="262" max="264" width="9.375" style="67" customWidth="1"/>
    <col min="265" max="507" width="8" style="67"/>
    <col min="508" max="508" width="1" style="67" customWidth="1"/>
    <col min="509" max="509" width="16.25" style="67" customWidth="1"/>
    <col min="510" max="510" width="18.625" style="67" customWidth="1"/>
    <col min="511" max="511" width="6" style="67" customWidth="1"/>
    <col min="512" max="512" width="15.875" style="67" customWidth="1"/>
    <col min="513" max="513" width="10.375" style="67" customWidth="1"/>
    <col min="514" max="514" width="32.125" style="67" customWidth="1"/>
    <col min="515" max="515" width="13.625" style="67" customWidth="1"/>
    <col min="516" max="516" width="7.125" style="67" customWidth="1"/>
    <col min="517" max="517" width="4.375" style="67" customWidth="1"/>
    <col min="518" max="520" width="9.375" style="67" customWidth="1"/>
    <col min="521" max="763" width="8" style="67"/>
    <col min="764" max="764" width="1" style="67" customWidth="1"/>
    <col min="765" max="765" width="16.25" style="67" customWidth="1"/>
    <col min="766" max="766" width="18.625" style="67" customWidth="1"/>
    <col min="767" max="767" width="6" style="67" customWidth="1"/>
    <col min="768" max="768" width="15.875" style="67" customWidth="1"/>
    <col min="769" max="769" width="10.375" style="67" customWidth="1"/>
    <col min="770" max="770" width="32.125" style="67" customWidth="1"/>
    <col min="771" max="771" width="13.625" style="67" customWidth="1"/>
    <col min="772" max="772" width="7.125" style="67" customWidth="1"/>
    <col min="773" max="773" width="4.375" style="67" customWidth="1"/>
    <col min="774" max="776" width="9.375" style="67" customWidth="1"/>
    <col min="777" max="1019" width="8" style="67"/>
    <col min="1020" max="1020" width="1" style="67" customWidth="1"/>
    <col min="1021" max="1021" width="16.25" style="67" customWidth="1"/>
    <col min="1022" max="1022" width="18.625" style="67" customWidth="1"/>
    <col min="1023" max="1023" width="6" style="67" customWidth="1"/>
    <col min="1024" max="1024" width="15.875" style="67" customWidth="1"/>
    <col min="1025" max="1025" width="10.375" style="67" customWidth="1"/>
    <col min="1026" max="1026" width="32.125" style="67" customWidth="1"/>
    <col min="1027" max="1027" width="13.625" style="67" customWidth="1"/>
    <col min="1028" max="1028" width="7.125" style="67" customWidth="1"/>
    <col min="1029" max="1029" width="4.375" style="67" customWidth="1"/>
    <col min="1030" max="1032" width="9.375" style="67" customWidth="1"/>
    <col min="1033" max="1275" width="8" style="67"/>
    <col min="1276" max="1276" width="1" style="67" customWidth="1"/>
    <col min="1277" max="1277" width="16.25" style="67" customWidth="1"/>
    <col min="1278" max="1278" width="18.625" style="67" customWidth="1"/>
    <col min="1279" max="1279" width="6" style="67" customWidth="1"/>
    <col min="1280" max="1280" width="15.875" style="67" customWidth="1"/>
    <col min="1281" max="1281" width="10.375" style="67" customWidth="1"/>
    <col min="1282" max="1282" width="32.125" style="67" customWidth="1"/>
    <col min="1283" max="1283" width="13.625" style="67" customWidth="1"/>
    <col min="1284" max="1284" width="7.125" style="67" customWidth="1"/>
    <col min="1285" max="1285" width="4.375" style="67" customWidth="1"/>
    <col min="1286" max="1288" width="9.375" style="67" customWidth="1"/>
    <col min="1289" max="1531" width="8" style="67"/>
    <col min="1532" max="1532" width="1" style="67" customWidth="1"/>
    <col min="1533" max="1533" width="16.25" style="67" customWidth="1"/>
    <col min="1534" max="1534" width="18.625" style="67" customWidth="1"/>
    <col min="1535" max="1535" width="6" style="67" customWidth="1"/>
    <col min="1536" max="1536" width="15.875" style="67" customWidth="1"/>
    <col min="1537" max="1537" width="10.375" style="67" customWidth="1"/>
    <col min="1538" max="1538" width="32.125" style="67" customWidth="1"/>
    <col min="1539" max="1539" width="13.625" style="67" customWidth="1"/>
    <col min="1540" max="1540" width="7.125" style="67" customWidth="1"/>
    <col min="1541" max="1541" width="4.375" style="67" customWidth="1"/>
    <col min="1542" max="1544" width="9.375" style="67" customWidth="1"/>
    <col min="1545" max="1787" width="8" style="67"/>
    <col min="1788" max="1788" width="1" style="67" customWidth="1"/>
    <col min="1789" max="1789" width="16.25" style="67" customWidth="1"/>
    <col min="1790" max="1790" width="18.625" style="67" customWidth="1"/>
    <col min="1791" max="1791" width="6" style="67" customWidth="1"/>
    <col min="1792" max="1792" width="15.875" style="67" customWidth="1"/>
    <col min="1793" max="1793" width="10.375" style="67" customWidth="1"/>
    <col min="1794" max="1794" width="32.125" style="67" customWidth="1"/>
    <col min="1795" max="1795" width="13.625" style="67" customWidth="1"/>
    <col min="1796" max="1796" width="7.125" style="67" customWidth="1"/>
    <col min="1797" max="1797" width="4.375" style="67" customWidth="1"/>
    <col min="1798" max="1800" width="9.375" style="67" customWidth="1"/>
    <col min="1801" max="2043" width="8" style="67"/>
    <col min="2044" max="2044" width="1" style="67" customWidth="1"/>
    <col min="2045" max="2045" width="16.25" style="67" customWidth="1"/>
    <col min="2046" max="2046" width="18.625" style="67" customWidth="1"/>
    <col min="2047" max="2047" width="6" style="67" customWidth="1"/>
    <col min="2048" max="2048" width="15.875" style="67" customWidth="1"/>
    <col min="2049" max="2049" width="10.375" style="67" customWidth="1"/>
    <col min="2050" max="2050" width="32.125" style="67" customWidth="1"/>
    <col min="2051" max="2051" width="13.625" style="67" customWidth="1"/>
    <col min="2052" max="2052" width="7.125" style="67" customWidth="1"/>
    <col min="2053" max="2053" width="4.375" style="67" customWidth="1"/>
    <col min="2054" max="2056" width="9.375" style="67" customWidth="1"/>
    <col min="2057" max="2299" width="8" style="67"/>
    <col min="2300" max="2300" width="1" style="67" customWidth="1"/>
    <col min="2301" max="2301" width="16.25" style="67" customWidth="1"/>
    <col min="2302" max="2302" width="18.625" style="67" customWidth="1"/>
    <col min="2303" max="2303" width="6" style="67" customWidth="1"/>
    <col min="2304" max="2304" width="15.875" style="67" customWidth="1"/>
    <col min="2305" max="2305" width="10.375" style="67" customWidth="1"/>
    <col min="2306" max="2306" width="32.125" style="67" customWidth="1"/>
    <col min="2307" max="2307" width="13.625" style="67" customWidth="1"/>
    <col min="2308" max="2308" width="7.125" style="67" customWidth="1"/>
    <col min="2309" max="2309" width="4.375" style="67" customWidth="1"/>
    <col min="2310" max="2312" width="9.375" style="67" customWidth="1"/>
    <col min="2313" max="2555" width="8" style="67"/>
    <col min="2556" max="2556" width="1" style="67" customWidth="1"/>
    <col min="2557" max="2557" width="16.25" style="67" customWidth="1"/>
    <col min="2558" max="2558" width="18.625" style="67" customWidth="1"/>
    <col min="2559" max="2559" width="6" style="67" customWidth="1"/>
    <col min="2560" max="2560" width="15.875" style="67" customWidth="1"/>
    <col min="2561" max="2561" width="10.375" style="67" customWidth="1"/>
    <col min="2562" max="2562" width="32.125" style="67" customWidth="1"/>
    <col min="2563" max="2563" width="13.625" style="67" customWidth="1"/>
    <col min="2564" max="2564" width="7.125" style="67" customWidth="1"/>
    <col min="2565" max="2565" width="4.375" style="67" customWidth="1"/>
    <col min="2566" max="2568" width="9.375" style="67" customWidth="1"/>
    <col min="2569" max="2811" width="8" style="67"/>
    <col min="2812" max="2812" width="1" style="67" customWidth="1"/>
    <col min="2813" max="2813" width="16.25" style="67" customWidth="1"/>
    <col min="2814" max="2814" width="18.625" style="67" customWidth="1"/>
    <col min="2815" max="2815" width="6" style="67" customWidth="1"/>
    <col min="2816" max="2816" width="15.875" style="67" customWidth="1"/>
    <col min="2817" max="2817" width="10.375" style="67" customWidth="1"/>
    <col min="2818" max="2818" width="32.125" style="67" customWidth="1"/>
    <col min="2819" max="2819" width="13.625" style="67" customWidth="1"/>
    <col min="2820" max="2820" width="7.125" style="67" customWidth="1"/>
    <col min="2821" max="2821" width="4.375" style="67" customWidth="1"/>
    <col min="2822" max="2824" width="9.375" style="67" customWidth="1"/>
    <col min="2825" max="3067" width="8" style="67"/>
    <col min="3068" max="3068" width="1" style="67" customWidth="1"/>
    <col min="3069" max="3069" width="16.25" style="67" customWidth="1"/>
    <col min="3070" max="3070" width="18.625" style="67" customWidth="1"/>
    <col min="3071" max="3071" width="6" style="67" customWidth="1"/>
    <col min="3072" max="3072" width="15.875" style="67" customWidth="1"/>
    <col min="3073" max="3073" width="10.375" style="67" customWidth="1"/>
    <col min="3074" max="3074" width="32.125" style="67" customWidth="1"/>
    <col min="3075" max="3075" width="13.625" style="67" customWidth="1"/>
    <col min="3076" max="3076" width="7.125" style="67" customWidth="1"/>
    <col min="3077" max="3077" width="4.375" style="67" customWidth="1"/>
    <col min="3078" max="3080" width="9.375" style="67" customWidth="1"/>
    <col min="3081" max="3323" width="8" style="67"/>
    <col min="3324" max="3324" width="1" style="67" customWidth="1"/>
    <col min="3325" max="3325" width="16.25" style="67" customWidth="1"/>
    <col min="3326" max="3326" width="18.625" style="67" customWidth="1"/>
    <col min="3327" max="3327" width="6" style="67" customWidth="1"/>
    <col min="3328" max="3328" width="15.875" style="67" customWidth="1"/>
    <col min="3329" max="3329" width="10.375" style="67" customWidth="1"/>
    <col min="3330" max="3330" width="32.125" style="67" customWidth="1"/>
    <col min="3331" max="3331" width="13.625" style="67" customWidth="1"/>
    <col min="3332" max="3332" width="7.125" style="67" customWidth="1"/>
    <col min="3333" max="3333" width="4.375" style="67" customWidth="1"/>
    <col min="3334" max="3336" width="9.375" style="67" customWidth="1"/>
    <col min="3337" max="3579" width="8" style="67"/>
    <col min="3580" max="3580" width="1" style="67" customWidth="1"/>
    <col min="3581" max="3581" width="16.25" style="67" customWidth="1"/>
    <col min="3582" max="3582" width="18.625" style="67" customWidth="1"/>
    <col min="3583" max="3583" width="6" style="67" customWidth="1"/>
    <col min="3584" max="3584" width="15.875" style="67" customWidth="1"/>
    <col min="3585" max="3585" width="10.375" style="67" customWidth="1"/>
    <col min="3586" max="3586" width="32.125" style="67" customWidth="1"/>
    <col min="3587" max="3587" width="13.625" style="67" customWidth="1"/>
    <col min="3588" max="3588" width="7.125" style="67" customWidth="1"/>
    <col min="3589" max="3589" width="4.375" style="67" customWidth="1"/>
    <col min="3590" max="3592" width="9.375" style="67" customWidth="1"/>
    <col min="3593" max="3835" width="8" style="67"/>
    <col min="3836" max="3836" width="1" style="67" customWidth="1"/>
    <col min="3837" max="3837" width="16.25" style="67" customWidth="1"/>
    <col min="3838" max="3838" width="18.625" style="67" customWidth="1"/>
    <col min="3839" max="3839" width="6" style="67" customWidth="1"/>
    <col min="3840" max="3840" width="15.875" style="67" customWidth="1"/>
    <col min="3841" max="3841" width="10.375" style="67" customWidth="1"/>
    <col min="3842" max="3842" width="32.125" style="67" customWidth="1"/>
    <col min="3843" max="3843" width="13.625" style="67" customWidth="1"/>
    <col min="3844" max="3844" width="7.125" style="67" customWidth="1"/>
    <col min="3845" max="3845" width="4.375" style="67" customWidth="1"/>
    <col min="3846" max="3848" width="9.375" style="67" customWidth="1"/>
    <col min="3849" max="4091" width="8" style="67"/>
    <col min="4092" max="4092" width="1" style="67" customWidth="1"/>
    <col min="4093" max="4093" width="16.25" style="67" customWidth="1"/>
    <col min="4094" max="4094" width="18.625" style="67" customWidth="1"/>
    <col min="4095" max="4095" width="6" style="67" customWidth="1"/>
    <col min="4096" max="4096" width="15.875" style="67" customWidth="1"/>
    <col min="4097" max="4097" width="10.375" style="67" customWidth="1"/>
    <col min="4098" max="4098" width="32.125" style="67" customWidth="1"/>
    <col min="4099" max="4099" width="13.625" style="67" customWidth="1"/>
    <col min="4100" max="4100" width="7.125" style="67" customWidth="1"/>
    <col min="4101" max="4101" width="4.375" style="67" customWidth="1"/>
    <col min="4102" max="4104" width="9.375" style="67" customWidth="1"/>
    <col min="4105" max="4347" width="8" style="67"/>
    <col min="4348" max="4348" width="1" style="67" customWidth="1"/>
    <col min="4349" max="4349" width="16.25" style="67" customWidth="1"/>
    <col min="4350" max="4350" width="18.625" style="67" customWidth="1"/>
    <col min="4351" max="4351" width="6" style="67" customWidth="1"/>
    <col min="4352" max="4352" width="15.875" style="67" customWidth="1"/>
    <col min="4353" max="4353" width="10.375" style="67" customWidth="1"/>
    <col min="4354" max="4354" width="32.125" style="67" customWidth="1"/>
    <col min="4355" max="4355" width="13.625" style="67" customWidth="1"/>
    <col min="4356" max="4356" width="7.125" style="67" customWidth="1"/>
    <col min="4357" max="4357" width="4.375" style="67" customWidth="1"/>
    <col min="4358" max="4360" width="9.375" style="67" customWidth="1"/>
    <col min="4361" max="4603" width="8" style="67"/>
    <col min="4604" max="4604" width="1" style="67" customWidth="1"/>
    <col min="4605" max="4605" width="16.25" style="67" customWidth="1"/>
    <col min="4606" max="4606" width="18.625" style="67" customWidth="1"/>
    <col min="4607" max="4607" width="6" style="67" customWidth="1"/>
    <col min="4608" max="4608" width="15.875" style="67" customWidth="1"/>
    <col min="4609" max="4609" width="10.375" style="67" customWidth="1"/>
    <col min="4610" max="4610" width="32.125" style="67" customWidth="1"/>
    <col min="4611" max="4611" width="13.625" style="67" customWidth="1"/>
    <col min="4612" max="4612" width="7.125" style="67" customWidth="1"/>
    <col min="4613" max="4613" width="4.375" style="67" customWidth="1"/>
    <col min="4614" max="4616" width="9.375" style="67" customWidth="1"/>
    <col min="4617" max="4859" width="8" style="67"/>
    <col min="4860" max="4860" width="1" style="67" customWidth="1"/>
    <col min="4861" max="4861" width="16.25" style="67" customWidth="1"/>
    <col min="4862" max="4862" width="18.625" style="67" customWidth="1"/>
    <col min="4863" max="4863" width="6" style="67" customWidth="1"/>
    <col min="4864" max="4864" width="15.875" style="67" customWidth="1"/>
    <col min="4865" max="4865" width="10.375" style="67" customWidth="1"/>
    <col min="4866" max="4866" width="32.125" style="67" customWidth="1"/>
    <col min="4867" max="4867" width="13.625" style="67" customWidth="1"/>
    <col min="4868" max="4868" width="7.125" style="67" customWidth="1"/>
    <col min="4869" max="4869" width="4.375" style="67" customWidth="1"/>
    <col min="4870" max="4872" width="9.375" style="67" customWidth="1"/>
    <col min="4873" max="5115" width="8" style="67"/>
    <col min="5116" max="5116" width="1" style="67" customWidth="1"/>
    <col min="5117" max="5117" width="16.25" style="67" customWidth="1"/>
    <col min="5118" max="5118" width="18.625" style="67" customWidth="1"/>
    <col min="5119" max="5119" width="6" style="67" customWidth="1"/>
    <col min="5120" max="5120" width="15.875" style="67" customWidth="1"/>
    <col min="5121" max="5121" width="10.375" style="67" customWidth="1"/>
    <col min="5122" max="5122" width="32.125" style="67" customWidth="1"/>
    <col min="5123" max="5123" width="13.625" style="67" customWidth="1"/>
    <col min="5124" max="5124" width="7.125" style="67" customWidth="1"/>
    <col min="5125" max="5125" width="4.375" style="67" customWidth="1"/>
    <col min="5126" max="5128" width="9.375" style="67" customWidth="1"/>
    <col min="5129" max="5371" width="8" style="67"/>
    <col min="5372" max="5372" width="1" style="67" customWidth="1"/>
    <col min="5373" max="5373" width="16.25" style="67" customWidth="1"/>
    <col min="5374" max="5374" width="18.625" style="67" customWidth="1"/>
    <col min="5375" max="5375" width="6" style="67" customWidth="1"/>
    <col min="5376" max="5376" width="15.875" style="67" customWidth="1"/>
    <col min="5377" max="5377" width="10.375" style="67" customWidth="1"/>
    <col min="5378" max="5378" width="32.125" style="67" customWidth="1"/>
    <col min="5379" max="5379" width="13.625" style="67" customWidth="1"/>
    <col min="5380" max="5380" width="7.125" style="67" customWidth="1"/>
    <col min="5381" max="5381" width="4.375" style="67" customWidth="1"/>
    <col min="5382" max="5384" width="9.375" style="67" customWidth="1"/>
    <col min="5385" max="5627" width="8" style="67"/>
    <col min="5628" max="5628" width="1" style="67" customWidth="1"/>
    <col min="5629" max="5629" width="16.25" style="67" customWidth="1"/>
    <col min="5630" max="5630" width="18.625" style="67" customWidth="1"/>
    <col min="5631" max="5631" width="6" style="67" customWidth="1"/>
    <col min="5632" max="5632" width="15.875" style="67" customWidth="1"/>
    <col min="5633" max="5633" width="10.375" style="67" customWidth="1"/>
    <col min="5634" max="5634" width="32.125" style="67" customWidth="1"/>
    <col min="5635" max="5635" width="13.625" style="67" customWidth="1"/>
    <col min="5636" max="5636" width="7.125" style="67" customWidth="1"/>
    <col min="5637" max="5637" width="4.375" style="67" customWidth="1"/>
    <col min="5638" max="5640" width="9.375" style="67" customWidth="1"/>
    <col min="5641" max="5883" width="8" style="67"/>
    <col min="5884" max="5884" width="1" style="67" customWidth="1"/>
    <col min="5885" max="5885" width="16.25" style="67" customWidth="1"/>
    <col min="5886" max="5886" width="18.625" style="67" customWidth="1"/>
    <col min="5887" max="5887" width="6" style="67" customWidth="1"/>
    <col min="5888" max="5888" width="15.875" style="67" customWidth="1"/>
    <col min="5889" max="5889" width="10.375" style="67" customWidth="1"/>
    <col min="5890" max="5890" width="32.125" style="67" customWidth="1"/>
    <col min="5891" max="5891" width="13.625" style="67" customWidth="1"/>
    <col min="5892" max="5892" width="7.125" style="67" customWidth="1"/>
    <col min="5893" max="5893" width="4.375" style="67" customWidth="1"/>
    <col min="5894" max="5896" width="9.375" style="67" customWidth="1"/>
    <col min="5897" max="6139" width="8" style="67"/>
    <col min="6140" max="6140" width="1" style="67" customWidth="1"/>
    <col min="6141" max="6141" width="16.25" style="67" customWidth="1"/>
    <col min="6142" max="6142" width="18.625" style="67" customWidth="1"/>
    <col min="6143" max="6143" width="6" style="67" customWidth="1"/>
    <col min="6144" max="6144" width="15.875" style="67" customWidth="1"/>
    <col min="6145" max="6145" width="10.375" style="67" customWidth="1"/>
    <col min="6146" max="6146" width="32.125" style="67" customWidth="1"/>
    <col min="6147" max="6147" width="13.625" style="67" customWidth="1"/>
    <col min="6148" max="6148" width="7.125" style="67" customWidth="1"/>
    <col min="6149" max="6149" width="4.375" style="67" customWidth="1"/>
    <col min="6150" max="6152" width="9.375" style="67" customWidth="1"/>
    <col min="6153" max="6395" width="8" style="67"/>
    <col min="6396" max="6396" width="1" style="67" customWidth="1"/>
    <col min="6397" max="6397" width="16.25" style="67" customWidth="1"/>
    <col min="6398" max="6398" width="18.625" style="67" customWidth="1"/>
    <col min="6399" max="6399" width="6" style="67" customWidth="1"/>
    <col min="6400" max="6400" width="15.875" style="67" customWidth="1"/>
    <col min="6401" max="6401" width="10.375" style="67" customWidth="1"/>
    <col min="6402" max="6402" width="32.125" style="67" customWidth="1"/>
    <col min="6403" max="6403" width="13.625" style="67" customWidth="1"/>
    <col min="6404" max="6404" width="7.125" style="67" customWidth="1"/>
    <col min="6405" max="6405" width="4.375" style="67" customWidth="1"/>
    <col min="6406" max="6408" width="9.375" style="67" customWidth="1"/>
    <col min="6409" max="6651" width="8" style="67"/>
    <col min="6652" max="6652" width="1" style="67" customWidth="1"/>
    <col min="6653" max="6653" width="16.25" style="67" customWidth="1"/>
    <col min="6654" max="6654" width="18.625" style="67" customWidth="1"/>
    <col min="6655" max="6655" width="6" style="67" customWidth="1"/>
    <col min="6656" max="6656" width="15.875" style="67" customWidth="1"/>
    <col min="6657" max="6657" width="10.375" style="67" customWidth="1"/>
    <col min="6658" max="6658" width="32.125" style="67" customWidth="1"/>
    <col min="6659" max="6659" width="13.625" style="67" customWidth="1"/>
    <col min="6660" max="6660" width="7.125" style="67" customWidth="1"/>
    <col min="6661" max="6661" width="4.375" style="67" customWidth="1"/>
    <col min="6662" max="6664" width="9.375" style="67" customWidth="1"/>
    <col min="6665" max="6907" width="8" style="67"/>
    <col min="6908" max="6908" width="1" style="67" customWidth="1"/>
    <col min="6909" max="6909" width="16.25" style="67" customWidth="1"/>
    <col min="6910" max="6910" width="18.625" style="67" customWidth="1"/>
    <col min="6911" max="6911" width="6" style="67" customWidth="1"/>
    <col min="6912" max="6912" width="15.875" style="67" customWidth="1"/>
    <col min="6913" max="6913" width="10.375" style="67" customWidth="1"/>
    <col min="6914" max="6914" width="32.125" style="67" customWidth="1"/>
    <col min="6915" max="6915" width="13.625" style="67" customWidth="1"/>
    <col min="6916" max="6916" width="7.125" style="67" customWidth="1"/>
    <col min="6917" max="6917" width="4.375" style="67" customWidth="1"/>
    <col min="6918" max="6920" width="9.375" style="67" customWidth="1"/>
    <col min="6921" max="7163" width="8" style="67"/>
    <col min="7164" max="7164" width="1" style="67" customWidth="1"/>
    <col min="7165" max="7165" width="16.25" style="67" customWidth="1"/>
    <col min="7166" max="7166" width="18.625" style="67" customWidth="1"/>
    <col min="7167" max="7167" width="6" style="67" customWidth="1"/>
    <col min="7168" max="7168" width="15.875" style="67" customWidth="1"/>
    <col min="7169" max="7169" width="10.375" style="67" customWidth="1"/>
    <col min="7170" max="7170" width="32.125" style="67" customWidth="1"/>
    <col min="7171" max="7171" width="13.625" style="67" customWidth="1"/>
    <col min="7172" max="7172" width="7.125" style="67" customWidth="1"/>
    <col min="7173" max="7173" width="4.375" style="67" customWidth="1"/>
    <col min="7174" max="7176" width="9.375" style="67" customWidth="1"/>
    <col min="7177" max="7419" width="8" style="67"/>
    <col min="7420" max="7420" width="1" style="67" customWidth="1"/>
    <col min="7421" max="7421" width="16.25" style="67" customWidth="1"/>
    <col min="7422" max="7422" width="18.625" style="67" customWidth="1"/>
    <col min="7423" max="7423" width="6" style="67" customWidth="1"/>
    <col min="7424" max="7424" width="15.875" style="67" customWidth="1"/>
    <col min="7425" max="7425" width="10.375" style="67" customWidth="1"/>
    <col min="7426" max="7426" width="32.125" style="67" customWidth="1"/>
    <col min="7427" max="7427" width="13.625" style="67" customWidth="1"/>
    <col min="7428" max="7428" width="7.125" style="67" customWidth="1"/>
    <col min="7429" max="7429" width="4.375" style="67" customWidth="1"/>
    <col min="7430" max="7432" width="9.375" style="67" customWidth="1"/>
    <col min="7433" max="7675" width="8" style="67"/>
    <col min="7676" max="7676" width="1" style="67" customWidth="1"/>
    <col min="7677" max="7677" width="16.25" style="67" customWidth="1"/>
    <col min="7678" max="7678" width="18.625" style="67" customWidth="1"/>
    <col min="7679" max="7679" width="6" style="67" customWidth="1"/>
    <col min="7680" max="7680" width="15.875" style="67" customWidth="1"/>
    <col min="7681" max="7681" width="10.375" style="67" customWidth="1"/>
    <col min="7682" max="7682" width="32.125" style="67" customWidth="1"/>
    <col min="7683" max="7683" width="13.625" style="67" customWidth="1"/>
    <col min="7684" max="7684" width="7.125" style="67" customWidth="1"/>
    <col min="7685" max="7685" width="4.375" style="67" customWidth="1"/>
    <col min="7686" max="7688" width="9.375" style="67" customWidth="1"/>
    <col min="7689" max="7931" width="8" style="67"/>
    <col min="7932" max="7932" width="1" style="67" customWidth="1"/>
    <col min="7933" max="7933" width="16.25" style="67" customWidth="1"/>
    <col min="7934" max="7934" width="18.625" style="67" customWidth="1"/>
    <col min="7935" max="7935" width="6" style="67" customWidth="1"/>
    <col min="7936" max="7936" width="15.875" style="67" customWidth="1"/>
    <col min="7937" max="7937" width="10.375" style="67" customWidth="1"/>
    <col min="7938" max="7938" width="32.125" style="67" customWidth="1"/>
    <col min="7939" max="7939" width="13.625" style="67" customWidth="1"/>
    <col min="7940" max="7940" width="7.125" style="67" customWidth="1"/>
    <col min="7941" max="7941" width="4.375" style="67" customWidth="1"/>
    <col min="7942" max="7944" width="9.375" style="67" customWidth="1"/>
    <col min="7945" max="8187" width="8" style="67"/>
    <col min="8188" max="8188" width="1" style="67" customWidth="1"/>
    <col min="8189" max="8189" width="16.25" style="67" customWidth="1"/>
    <col min="8190" max="8190" width="18.625" style="67" customWidth="1"/>
    <col min="8191" max="8191" width="6" style="67" customWidth="1"/>
    <col min="8192" max="8192" width="15.875" style="67" customWidth="1"/>
    <col min="8193" max="8193" width="10.375" style="67" customWidth="1"/>
    <col min="8194" max="8194" width="32.125" style="67" customWidth="1"/>
    <col min="8195" max="8195" width="13.625" style="67" customWidth="1"/>
    <col min="8196" max="8196" width="7.125" style="67" customWidth="1"/>
    <col min="8197" max="8197" width="4.375" style="67" customWidth="1"/>
    <col min="8198" max="8200" width="9.375" style="67" customWidth="1"/>
    <col min="8201" max="8443" width="8" style="67"/>
    <col min="8444" max="8444" width="1" style="67" customWidth="1"/>
    <col min="8445" max="8445" width="16.25" style="67" customWidth="1"/>
    <col min="8446" max="8446" width="18.625" style="67" customWidth="1"/>
    <col min="8447" max="8447" width="6" style="67" customWidth="1"/>
    <col min="8448" max="8448" width="15.875" style="67" customWidth="1"/>
    <col min="8449" max="8449" width="10.375" style="67" customWidth="1"/>
    <col min="8450" max="8450" width="32.125" style="67" customWidth="1"/>
    <col min="8451" max="8451" width="13.625" style="67" customWidth="1"/>
    <col min="8452" max="8452" width="7.125" style="67" customWidth="1"/>
    <col min="8453" max="8453" width="4.375" style="67" customWidth="1"/>
    <col min="8454" max="8456" width="9.375" style="67" customWidth="1"/>
    <col min="8457" max="8699" width="8" style="67"/>
    <col min="8700" max="8700" width="1" style="67" customWidth="1"/>
    <col min="8701" max="8701" width="16.25" style="67" customWidth="1"/>
    <col min="8702" max="8702" width="18.625" style="67" customWidth="1"/>
    <col min="8703" max="8703" width="6" style="67" customWidth="1"/>
    <col min="8704" max="8704" width="15.875" style="67" customWidth="1"/>
    <col min="8705" max="8705" width="10.375" style="67" customWidth="1"/>
    <col min="8706" max="8706" width="32.125" style="67" customWidth="1"/>
    <col min="8707" max="8707" width="13.625" style="67" customWidth="1"/>
    <col min="8708" max="8708" width="7.125" style="67" customWidth="1"/>
    <col min="8709" max="8709" width="4.375" style="67" customWidth="1"/>
    <col min="8710" max="8712" width="9.375" style="67" customWidth="1"/>
    <col min="8713" max="8955" width="8" style="67"/>
    <col min="8956" max="8956" width="1" style="67" customWidth="1"/>
    <col min="8957" max="8957" width="16.25" style="67" customWidth="1"/>
    <col min="8958" max="8958" width="18.625" style="67" customWidth="1"/>
    <col min="8959" max="8959" width="6" style="67" customWidth="1"/>
    <col min="8960" max="8960" width="15.875" style="67" customWidth="1"/>
    <col min="8961" max="8961" width="10.375" style="67" customWidth="1"/>
    <col min="8962" max="8962" width="32.125" style="67" customWidth="1"/>
    <col min="8963" max="8963" width="13.625" style="67" customWidth="1"/>
    <col min="8964" max="8964" width="7.125" style="67" customWidth="1"/>
    <col min="8965" max="8965" width="4.375" style="67" customWidth="1"/>
    <col min="8966" max="8968" width="9.375" style="67" customWidth="1"/>
    <col min="8969" max="9211" width="8" style="67"/>
    <col min="9212" max="9212" width="1" style="67" customWidth="1"/>
    <col min="9213" max="9213" width="16.25" style="67" customWidth="1"/>
    <col min="9214" max="9214" width="18.625" style="67" customWidth="1"/>
    <col min="9215" max="9215" width="6" style="67" customWidth="1"/>
    <col min="9216" max="9216" width="15.875" style="67" customWidth="1"/>
    <col min="9217" max="9217" width="10.375" style="67" customWidth="1"/>
    <col min="9218" max="9218" width="32.125" style="67" customWidth="1"/>
    <col min="9219" max="9219" width="13.625" style="67" customWidth="1"/>
    <col min="9220" max="9220" width="7.125" style="67" customWidth="1"/>
    <col min="9221" max="9221" width="4.375" style="67" customWidth="1"/>
    <col min="9222" max="9224" width="9.375" style="67" customWidth="1"/>
    <col min="9225" max="9467" width="8" style="67"/>
    <col min="9468" max="9468" width="1" style="67" customWidth="1"/>
    <col min="9469" max="9469" width="16.25" style="67" customWidth="1"/>
    <col min="9470" max="9470" width="18.625" style="67" customWidth="1"/>
    <col min="9471" max="9471" width="6" style="67" customWidth="1"/>
    <col min="9472" max="9472" width="15.875" style="67" customWidth="1"/>
    <col min="9473" max="9473" width="10.375" style="67" customWidth="1"/>
    <col min="9474" max="9474" width="32.125" style="67" customWidth="1"/>
    <col min="9475" max="9475" width="13.625" style="67" customWidth="1"/>
    <col min="9476" max="9476" width="7.125" style="67" customWidth="1"/>
    <col min="9477" max="9477" width="4.375" style="67" customWidth="1"/>
    <col min="9478" max="9480" width="9.375" style="67" customWidth="1"/>
    <col min="9481" max="9723" width="8" style="67"/>
    <col min="9724" max="9724" width="1" style="67" customWidth="1"/>
    <col min="9725" max="9725" width="16.25" style="67" customWidth="1"/>
    <col min="9726" max="9726" width="18.625" style="67" customWidth="1"/>
    <col min="9727" max="9727" width="6" style="67" customWidth="1"/>
    <col min="9728" max="9728" width="15.875" style="67" customWidth="1"/>
    <col min="9729" max="9729" width="10.375" style="67" customWidth="1"/>
    <col min="9730" max="9730" width="32.125" style="67" customWidth="1"/>
    <col min="9731" max="9731" width="13.625" style="67" customWidth="1"/>
    <col min="9732" max="9732" width="7.125" style="67" customWidth="1"/>
    <col min="9733" max="9733" width="4.375" style="67" customWidth="1"/>
    <col min="9734" max="9736" width="9.375" style="67" customWidth="1"/>
    <col min="9737" max="9979" width="8" style="67"/>
    <col min="9980" max="9980" width="1" style="67" customWidth="1"/>
    <col min="9981" max="9981" width="16.25" style="67" customWidth="1"/>
    <col min="9982" max="9982" width="18.625" style="67" customWidth="1"/>
    <col min="9983" max="9983" width="6" style="67" customWidth="1"/>
    <col min="9984" max="9984" width="15.875" style="67" customWidth="1"/>
    <col min="9985" max="9985" width="10.375" style="67" customWidth="1"/>
    <col min="9986" max="9986" width="32.125" style="67" customWidth="1"/>
    <col min="9987" max="9987" width="13.625" style="67" customWidth="1"/>
    <col min="9988" max="9988" width="7.125" style="67" customWidth="1"/>
    <col min="9989" max="9989" width="4.375" style="67" customWidth="1"/>
    <col min="9990" max="9992" width="9.375" style="67" customWidth="1"/>
    <col min="9993" max="10235" width="8" style="67"/>
    <col min="10236" max="10236" width="1" style="67" customWidth="1"/>
    <col min="10237" max="10237" width="16.25" style="67" customWidth="1"/>
    <col min="10238" max="10238" width="18.625" style="67" customWidth="1"/>
    <col min="10239" max="10239" width="6" style="67" customWidth="1"/>
    <col min="10240" max="10240" width="15.875" style="67" customWidth="1"/>
    <col min="10241" max="10241" width="10.375" style="67" customWidth="1"/>
    <col min="10242" max="10242" width="32.125" style="67" customWidth="1"/>
    <col min="10243" max="10243" width="13.625" style="67" customWidth="1"/>
    <col min="10244" max="10244" width="7.125" style="67" customWidth="1"/>
    <col min="10245" max="10245" width="4.375" style="67" customWidth="1"/>
    <col min="10246" max="10248" width="9.375" style="67" customWidth="1"/>
    <col min="10249" max="10491" width="8" style="67"/>
    <col min="10492" max="10492" width="1" style="67" customWidth="1"/>
    <col min="10493" max="10493" width="16.25" style="67" customWidth="1"/>
    <col min="10494" max="10494" width="18.625" style="67" customWidth="1"/>
    <col min="10495" max="10495" width="6" style="67" customWidth="1"/>
    <col min="10496" max="10496" width="15.875" style="67" customWidth="1"/>
    <col min="10497" max="10497" width="10.375" style="67" customWidth="1"/>
    <col min="10498" max="10498" width="32.125" style="67" customWidth="1"/>
    <col min="10499" max="10499" width="13.625" style="67" customWidth="1"/>
    <col min="10500" max="10500" width="7.125" style="67" customWidth="1"/>
    <col min="10501" max="10501" width="4.375" style="67" customWidth="1"/>
    <col min="10502" max="10504" width="9.375" style="67" customWidth="1"/>
    <col min="10505" max="10747" width="8" style="67"/>
    <col min="10748" max="10748" width="1" style="67" customWidth="1"/>
    <col min="10749" max="10749" width="16.25" style="67" customWidth="1"/>
    <col min="10750" max="10750" width="18.625" style="67" customWidth="1"/>
    <col min="10751" max="10751" width="6" style="67" customWidth="1"/>
    <col min="10752" max="10752" width="15.875" style="67" customWidth="1"/>
    <col min="10753" max="10753" width="10.375" style="67" customWidth="1"/>
    <col min="10754" max="10754" width="32.125" style="67" customWidth="1"/>
    <col min="10755" max="10755" width="13.625" style="67" customWidth="1"/>
    <col min="10756" max="10756" width="7.125" style="67" customWidth="1"/>
    <col min="10757" max="10757" width="4.375" style="67" customWidth="1"/>
    <col min="10758" max="10760" width="9.375" style="67" customWidth="1"/>
    <col min="10761" max="11003" width="8" style="67"/>
    <col min="11004" max="11004" width="1" style="67" customWidth="1"/>
    <col min="11005" max="11005" width="16.25" style="67" customWidth="1"/>
    <col min="11006" max="11006" width="18.625" style="67" customWidth="1"/>
    <col min="11007" max="11007" width="6" style="67" customWidth="1"/>
    <col min="11008" max="11008" width="15.875" style="67" customWidth="1"/>
    <col min="11009" max="11009" width="10.375" style="67" customWidth="1"/>
    <col min="11010" max="11010" width="32.125" style="67" customWidth="1"/>
    <col min="11011" max="11011" width="13.625" style="67" customWidth="1"/>
    <col min="11012" max="11012" width="7.125" style="67" customWidth="1"/>
    <col min="11013" max="11013" width="4.375" style="67" customWidth="1"/>
    <col min="11014" max="11016" width="9.375" style="67" customWidth="1"/>
    <col min="11017" max="11259" width="8" style="67"/>
    <col min="11260" max="11260" width="1" style="67" customWidth="1"/>
    <col min="11261" max="11261" width="16.25" style="67" customWidth="1"/>
    <col min="11262" max="11262" width="18.625" style="67" customWidth="1"/>
    <col min="11263" max="11263" width="6" style="67" customWidth="1"/>
    <col min="11264" max="11264" width="15.875" style="67" customWidth="1"/>
    <col min="11265" max="11265" width="10.375" style="67" customWidth="1"/>
    <col min="11266" max="11266" width="32.125" style="67" customWidth="1"/>
    <col min="11267" max="11267" width="13.625" style="67" customWidth="1"/>
    <col min="11268" max="11268" width="7.125" style="67" customWidth="1"/>
    <col min="11269" max="11269" width="4.375" style="67" customWidth="1"/>
    <col min="11270" max="11272" width="9.375" style="67" customWidth="1"/>
    <col min="11273" max="11515" width="8" style="67"/>
    <col min="11516" max="11516" width="1" style="67" customWidth="1"/>
    <col min="11517" max="11517" width="16.25" style="67" customWidth="1"/>
    <col min="11518" max="11518" width="18.625" style="67" customWidth="1"/>
    <col min="11519" max="11519" width="6" style="67" customWidth="1"/>
    <col min="11520" max="11520" width="15.875" style="67" customWidth="1"/>
    <col min="11521" max="11521" width="10.375" style="67" customWidth="1"/>
    <col min="11522" max="11522" width="32.125" style="67" customWidth="1"/>
    <col min="11523" max="11523" width="13.625" style="67" customWidth="1"/>
    <col min="11524" max="11524" width="7.125" style="67" customWidth="1"/>
    <col min="11525" max="11525" width="4.375" style="67" customWidth="1"/>
    <col min="11526" max="11528" width="9.375" style="67" customWidth="1"/>
    <col min="11529" max="11771" width="8" style="67"/>
    <col min="11772" max="11772" width="1" style="67" customWidth="1"/>
    <col min="11773" max="11773" width="16.25" style="67" customWidth="1"/>
    <col min="11774" max="11774" width="18.625" style="67" customWidth="1"/>
    <col min="11775" max="11775" width="6" style="67" customWidth="1"/>
    <col min="11776" max="11776" width="15.875" style="67" customWidth="1"/>
    <col min="11777" max="11777" width="10.375" style="67" customWidth="1"/>
    <col min="11778" max="11778" width="32.125" style="67" customWidth="1"/>
    <col min="11779" max="11779" width="13.625" style="67" customWidth="1"/>
    <col min="11780" max="11780" width="7.125" style="67" customWidth="1"/>
    <col min="11781" max="11781" width="4.375" style="67" customWidth="1"/>
    <col min="11782" max="11784" width="9.375" style="67" customWidth="1"/>
    <col min="11785" max="12027" width="8" style="67"/>
    <col min="12028" max="12028" width="1" style="67" customWidth="1"/>
    <col min="12029" max="12029" width="16.25" style="67" customWidth="1"/>
    <col min="12030" max="12030" width="18.625" style="67" customWidth="1"/>
    <col min="12031" max="12031" width="6" style="67" customWidth="1"/>
    <col min="12032" max="12032" width="15.875" style="67" customWidth="1"/>
    <col min="12033" max="12033" width="10.375" style="67" customWidth="1"/>
    <col min="12034" max="12034" width="32.125" style="67" customWidth="1"/>
    <col min="12035" max="12035" width="13.625" style="67" customWidth="1"/>
    <col min="12036" max="12036" width="7.125" style="67" customWidth="1"/>
    <col min="12037" max="12037" width="4.375" style="67" customWidth="1"/>
    <col min="12038" max="12040" width="9.375" style="67" customWidth="1"/>
    <col min="12041" max="12283" width="8" style="67"/>
    <col min="12284" max="12284" width="1" style="67" customWidth="1"/>
    <col min="12285" max="12285" width="16.25" style="67" customWidth="1"/>
    <col min="12286" max="12286" width="18.625" style="67" customWidth="1"/>
    <col min="12287" max="12287" width="6" style="67" customWidth="1"/>
    <col min="12288" max="12288" width="15.875" style="67" customWidth="1"/>
    <col min="12289" max="12289" width="10.375" style="67" customWidth="1"/>
    <col min="12290" max="12290" width="32.125" style="67" customWidth="1"/>
    <col min="12291" max="12291" width="13.625" style="67" customWidth="1"/>
    <col min="12292" max="12292" width="7.125" style="67" customWidth="1"/>
    <col min="12293" max="12293" width="4.375" style="67" customWidth="1"/>
    <col min="12294" max="12296" width="9.375" style="67" customWidth="1"/>
    <col min="12297" max="12539" width="8" style="67"/>
    <col min="12540" max="12540" width="1" style="67" customWidth="1"/>
    <col min="12541" max="12541" width="16.25" style="67" customWidth="1"/>
    <col min="12542" max="12542" width="18.625" style="67" customWidth="1"/>
    <col min="12543" max="12543" width="6" style="67" customWidth="1"/>
    <col min="12544" max="12544" width="15.875" style="67" customWidth="1"/>
    <col min="12545" max="12545" width="10.375" style="67" customWidth="1"/>
    <col min="12546" max="12546" width="32.125" style="67" customWidth="1"/>
    <col min="12547" max="12547" width="13.625" style="67" customWidth="1"/>
    <col min="12548" max="12548" width="7.125" style="67" customWidth="1"/>
    <col min="12549" max="12549" width="4.375" style="67" customWidth="1"/>
    <col min="12550" max="12552" width="9.375" style="67" customWidth="1"/>
    <col min="12553" max="12795" width="8" style="67"/>
    <col min="12796" max="12796" width="1" style="67" customWidth="1"/>
    <col min="12797" max="12797" width="16.25" style="67" customWidth="1"/>
    <col min="12798" max="12798" width="18.625" style="67" customWidth="1"/>
    <col min="12799" max="12799" width="6" style="67" customWidth="1"/>
    <col min="12800" max="12800" width="15.875" style="67" customWidth="1"/>
    <col min="12801" max="12801" width="10.375" style="67" customWidth="1"/>
    <col min="12802" max="12802" width="32.125" style="67" customWidth="1"/>
    <col min="12803" max="12803" width="13.625" style="67" customWidth="1"/>
    <col min="12804" max="12804" width="7.125" style="67" customWidth="1"/>
    <col min="12805" max="12805" width="4.375" style="67" customWidth="1"/>
    <col min="12806" max="12808" width="9.375" style="67" customWidth="1"/>
    <col min="12809" max="13051" width="8" style="67"/>
    <col min="13052" max="13052" width="1" style="67" customWidth="1"/>
    <col min="13053" max="13053" width="16.25" style="67" customWidth="1"/>
    <col min="13054" max="13054" width="18.625" style="67" customWidth="1"/>
    <col min="13055" max="13055" width="6" style="67" customWidth="1"/>
    <col min="13056" max="13056" width="15.875" style="67" customWidth="1"/>
    <col min="13057" max="13057" width="10.375" style="67" customWidth="1"/>
    <col min="13058" max="13058" width="32.125" style="67" customWidth="1"/>
    <col min="13059" max="13059" width="13.625" style="67" customWidth="1"/>
    <col min="13060" max="13060" width="7.125" style="67" customWidth="1"/>
    <col min="13061" max="13061" width="4.375" style="67" customWidth="1"/>
    <col min="13062" max="13064" width="9.375" style="67" customWidth="1"/>
    <col min="13065" max="13307" width="8" style="67"/>
    <col min="13308" max="13308" width="1" style="67" customWidth="1"/>
    <col min="13309" max="13309" width="16.25" style="67" customWidth="1"/>
    <col min="13310" max="13310" width="18.625" style="67" customWidth="1"/>
    <col min="13311" max="13311" width="6" style="67" customWidth="1"/>
    <col min="13312" max="13312" width="15.875" style="67" customWidth="1"/>
    <col min="13313" max="13313" width="10.375" style="67" customWidth="1"/>
    <col min="13314" max="13314" width="32.125" style="67" customWidth="1"/>
    <col min="13315" max="13315" width="13.625" style="67" customWidth="1"/>
    <col min="13316" max="13316" width="7.125" style="67" customWidth="1"/>
    <col min="13317" max="13317" width="4.375" style="67" customWidth="1"/>
    <col min="13318" max="13320" width="9.375" style="67" customWidth="1"/>
    <col min="13321" max="13563" width="8" style="67"/>
    <col min="13564" max="13564" width="1" style="67" customWidth="1"/>
    <col min="13565" max="13565" width="16.25" style="67" customWidth="1"/>
    <col min="13566" max="13566" width="18.625" style="67" customWidth="1"/>
    <col min="13567" max="13567" width="6" style="67" customWidth="1"/>
    <col min="13568" max="13568" width="15.875" style="67" customWidth="1"/>
    <col min="13569" max="13569" width="10.375" style="67" customWidth="1"/>
    <col min="13570" max="13570" width="32.125" style="67" customWidth="1"/>
    <col min="13571" max="13571" width="13.625" style="67" customWidth="1"/>
    <col min="13572" max="13572" width="7.125" style="67" customWidth="1"/>
    <col min="13573" max="13573" width="4.375" style="67" customWidth="1"/>
    <col min="13574" max="13576" width="9.375" style="67" customWidth="1"/>
    <col min="13577" max="13819" width="8" style="67"/>
    <col min="13820" max="13820" width="1" style="67" customWidth="1"/>
    <col min="13821" max="13821" width="16.25" style="67" customWidth="1"/>
    <col min="13822" max="13822" width="18.625" style="67" customWidth="1"/>
    <col min="13823" max="13823" width="6" style="67" customWidth="1"/>
    <col min="13824" max="13824" width="15.875" style="67" customWidth="1"/>
    <col min="13825" max="13825" width="10.375" style="67" customWidth="1"/>
    <col min="13826" max="13826" width="32.125" style="67" customWidth="1"/>
    <col min="13827" max="13827" width="13.625" style="67" customWidth="1"/>
    <col min="13828" max="13828" width="7.125" style="67" customWidth="1"/>
    <col min="13829" max="13829" width="4.375" style="67" customWidth="1"/>
    <col min="13830" max="13832" width="9.375" style="67" customWidth="1"/>
    <col min="13833" max="14075" width="8" style="67"/>
    <col min="14076" max="14076" width="1" style="67" customWidth="1"/>
    <col min="14077" max="14077" width="16.25" style="67" customWidth="1"/>
    <col min="14078" max="14078" width="18.625" style="67" customWidth="1"/>
    <col min="14079" max="14079" width="6" style="67" customWidth="1"/>
    <col min="14080" max="14080" width="15.875" style="67" customWidth="1"/>
    <col min="14081" max="14081" width="10.375" style="67" customWidth="1"/>
    <col min="14082" max="14082" width="32.125" style="67" customWidth="1"/>
    <col min="14083" max="14083" width="13.625" style="67" customWidth="1"/>
    <col min="14084" max="14084" width="7.125" style="67" customWidth="1"/>
    <col min="14085" max="14085" width="4.375" style="67" customWidth="1"/>
    <col min="14086" max="14088" width="9.375" style="67" customWidth="1"/>
    <col min="14089" max="14331" width="8" style="67"/>
    <col min="14332" max="14332" width="1" style="67" customWidth="1"/>
    <col min="14333" max="14333" width="16.25" style="67" customWidth="1"/>
    <col min="14334" max="14334" width="18.625" style="67" customWidth="1"/>
    <col min="14335" max="14335" width="6" style="67" customWidth="1"/>
    <col min="14336" max="14336" width="15.875" style="67" customWidth="1"/>
    <col min="14337" max="14337" width="10.375" style="67" customWidth="1"/>
    <col min="14338" max="14338" width="32.125" style="67" customWidth="1"/>
    <col min="14339" max="14339" width="13.625" style="67" customWidth="1"/>
    <col min="14340" max="14340" width="7.125" style="67" customWidth="1"/>
    <col min="14341" max="14341" width="4.375" style="67" customWidth="1"/>
    <col min="14342" max="14344" width="9.375" style="67" customWidth="1"/>
    <col min="14345" max="14587" width="8" style="67"/>
    <col min="14588" max="14588" width="1" style="67" customWidth="1"/>
    <col min="14589" max="14589" width="16.25" style="67" customWidth="1"/>
    <col min="14590" max="14590" width="18.625" style="67" customWidth="1"/>
    <col min="14591" max="14591" width="6" style="67" customWidth="1"/>
    <col min="14592" max="14592" width="15.875" style="67" customWidth="1"/>
    <col min="14593" max="14593" width="10.375" style="67" customWidth="1"/>
    <col min="14594" max="14594" width="32.125" style="67" customWidth="1"/>
    <col min="14595" max="14595" width="13.625" style="67" customWidth="1"/>
    <col min="14596" max="14596" width="7.125" style="67" customWidth="1"/>
    <col min="14597" max="14597" width="4.375" style="67" customWidth="1"/>
    <col min="14598" max="14600" width="9.375" style="67" customWidth="1"/>
    <col min="14601" max="14843" width="8" style="67"/>
    <col min="14844" max="14844" width="1" style="67" customWidth="1"/>
    <col min="14845" max="14845" width="16.25" style="67" customWidth="1"/>
    <col min="14846" max="14846" width="18.625" style="67" customWidth="1"/>
    <col min="14847" max="14847" width="6" style="67" customWidth="1"/>
    <col min="14848" max="14848" width="15.875" style="67" customWidth="1"/>
    <col min="14849" max="14849" width="10.375" style="67" customWidth="1"/>
    <col min="14850" max="14850" width="32.125" style="67" customWidth="1"/>
    <col min="14851" max="14851" width="13.625" style="67" customWidth="1"/>
    <col min="14852" max="14852" width="7.125" style="67" customWidth="1"/>
    <col min="14853" max="14853" width="4.375" style="67" customWidth="1"/>
    <col min="14854" max="14856" width="9.375" style="67" customWidth="1"/>
    <col min="14857" max="15099" width="8" style="67"/>
    <col min="15100" max="15100" width="1" style="67" customWidth="1"/>
    <col min="15101" max="15101" width="16.25" style="67" customWidth="1"/>
    <col min="15102" max="15102" width="18.625" style="67" customWidth="1"/>
    <col min="15103" max="15103" width="6" style="67" customWidth="1"/>
    <col min="15104" max="15104" width="15.875" style="67" customWidth="1"/>
    <col min="15105" max="15105" width="10.375" style="67" customWidth="1"/>
    <col min="15106" max="15106" width="32.125" style="67" customWidth="1"/>
    <col min="15107" max="15107" width="13.625" style="67" customWidth="1"/>
    <col min="15108" max="15108" width="7.125" style="67" customWidth="1"/>
    <col min="15109" max="15109" width="4.375" style="67" customWidth="1"/>
    <col min="15110" max="15112" width="9.375" style="67" customWidth="1"/>
    <col min="15113" max="15355" width="8" style="67"/>
    <col min="15356" max="15356" width="1" style="67" customWidth="1"/>
    <col min="15357" max="15357" width="16.25" style="67" customWidth="1"/>
    <col min="15358" max="15358" width="18.625" style="67" customWidth="1"/>
    <col min="15359" max="15359" width="6" style="67" customWidth="1"/>
    <col min="15360" max="15360" width="15.875" style="67" customWidth="1"/>
    <col min="15361" max="15361" width="10.375" style="67" customWidth="1"/>
    <col min="15362" max="15362" width="32.125" style="67" customWidth="1"/>
    <col min="15363" max="15363" width="13.625" style="67" customWidth="1"/>
    <col min="15364" max="15364" width="7.125" style="67" customWidth="1"/>
    <col min="15365" max="15365" width="4.375" style="67" customWidth="1"/>
    <col min="15366" max="15368" width="9.375" style="67" customWidth="1"/>
    <col min="15369" max="15611" width="8" style="67"/>
    <col min="15612" max="15612" width="1" style="67" customWidth="1"/>
    <col min="15613" max="15613" width="16.25" style="67" customWidth="1"/>
    <col min="15614" max="15614" width="18.625" style="67" customWidth="1"/>
    <col min="15615" max="15615" width="6" style="67" customWidth="1"/>
    <col min="15616" max="15616" width="15.875" style="67" customWidth="1"/>
    <col min="15617" max="15617" width="10.375" style="67" customWidth="1"/>
    <col min="15618" max="15618" width="32.125" style="67" customWidth="1"/>
    <col min="15619" max="15619" width="13.625" style="67" customWidth="1"/>
    <col min="15620" max="15620" width="7.125" style="67" customWidth="1"/>
    <col min="15621" max="15621" width="4.375" style="67" customWidth="1"/>
    <col min="15622" max="15624" width="9.375" style="67" customWidth="1"/>
    <col min="15625" max="15867" width="8" style="67"/>
    <col min="15868" max="15868" width="1" style="67" customWidth="1"/>
    <col min="15869" max="15869" width="16.25" style="67" customWidth="1"/>
    <col min="15870" max="15870" width="18.625" style="67" customWidth="1"/>
    <col min="15871" max="15871" width="6" style="67" customWidth="1"/>
    <col min="15872" max="15872" width="15.875" style="67" customWidth="1"/>
    <col min="15873" max="15873" width="10.375" style="67" customWidth="1"/>
    <col min="15874" max="15874" width="32.125" style="67" customWidth="1"/>
    <col min="15875" max="15875" width="13.625" style="67" customWidth="1"/>
    <col min="15876" max="15876" width="7.125" style="67" customWidth="1"/>
    <col min="15877" max="15877" width="4.375" style="67" customWidth="1"/>
    <col min="15878" max="15880" width="9.375" style="67" customWidth="1"/>
    <col min="15881" max="16123" width="8" style="67"/>
    <col min="16124" max="16124" width="1" style="67" customWidth="1"/>
    <col min="16125" max="16125" width="16.25" style="67" customWidth="1"/>
    <col min="16126" max="16126" width="18.625" style="67" customWidth="1"/>
    <col min="16127" max="16127" width="6" style="67" customWidth="1"/>
    <col min="16128" max="16128" width="15.875" style="67" customWidth="1"/>
    <col min="16129" max="16129" width="10.375" style="67" customWidth="1"/>
    <col min="16130" max="16130" width="32.125" style="67" customWidth="1"/>
    <col min="16131" max="16131" width="13.625" style="67" customWidth="1"/>
    <col min="16132" max="16132" width="7.125" style="67" customWidth="1"/>
    <col min="16133" max="16133" width="4.375" style="67" customWidth="1"/>
    <col min="16134" max="16136" width="9.375" style="67" customWidth="1"/>
    <col min="16137" max="16384" width="9" style="67"/>
  </cols>
  <sheetData>
    <row r="1" spans="2:7" s="68" customFormat="1" ht="44.25" customHeight="1" x14ac:dyDescent="0.3">
      <c r="B1" s="69" t="s">
        <v>7</v>
      </c>
      <c r="C1" s="434" t="str">
        <f>'0.Claimant Home Page'!F4</f>
        <v>Municipality of Gold Standard</v>
      </c>
      <c r="D1" s="434"/>
    </row>
    <row r="2" spans="2:7" s="31" customFormat="1" ht="60" customHeight="1" x14ac:dyDescent="0.25">
      <c r="B2" s="68" t="s">
        <v>179</v>
      </c>
      <c r="C2" s="438" t="s">
        <v>191</v>
      </c>
      <c r="D2" s="439"/>
      <c r="E2" s="439"/>
    </row>
    <row r="3" spans="2:7" ht="15" customHeight="1" x14ac:dyDescent="0.25">
      <c r="E3" s="59"/>
      <c r="G3" s="60">
        <v>0.4</v>
      </c>
    </row>
    <row r="4" spans="2:7" s="38" customFormat="1" ht="13.15" x14ac:dyDescent="0.25">
      <c r="F4" s="24"/>
    </row>
    <row r="5" spans="2:7" s="38" customFormat="1" ht="37.5" customHeight="1" x14ac:dyDescent="0.25">
      <c r="C5" s="71"/>
    </row>
    <row r="6" spans="2:7" s="38" customFormat="1" ht="13.15" x14ac:dyDescent="0.25">
      <c r="C6" s="70"/>
    </row>
    <row r="7" spans="2:7" s="38" customFormat="1" ht="13.15" x14ac:dyDescent="0.25"/>
    <row r="8" spans="2:7" s="38" customFormat="1" ht="13.15" x14ac:dyDescent="0.25"/>
    <row r="9" spans="2:7" s="38" customFormat="1" ht="13.15" x14ac:dyDescent="0.25"/>
    <row r="10" spans="2:7" s="38" customFormat="1" ht="13.15" x14ac:dyDescent="0.25">
      <c r="G10" s="33"/>
    </row>
    <row r="11" spans="2:7" s="38" customFormat="1" ht="13.15" x14ac:dyDescent="0.25"/>
    <row r="12" spans="2:7" s="38" customFormat="1" ht="13.15" x14ac:dyDescent="0.25"/>
    <row r="13" spans="2:7" s="38" customFormat="1" ht="17.45" x14ac:dyDescent="0.25">
      <c r="C13" s="137" t="s">
        <v>72</v>
      </c>
      <c r="D13" s="106"/>
    </row>
    <row r="14" spans="2:7" s="38" customFormat="1" ht="15" customHeight="1" x14ac:dyDescent="0.25"/>
    <row r="15" spans="2:7" s="38" customFormat="1" ht="13.15" x14ac:dyDescent="0.25"/>
    <row r="16" spans="2:7" s="38" customFormat="1" ht="13.15" x14ac:dyDescent="0.25"/>
    <row r="17" spans="3:4" s="38" customFormat="1" ht="15.75" x14ac:dyDescent="0.2">
      <c r="C17" s="72" t="s">
        <v>69</v>
      </c>
      <c r="D17" s="138"/>
    </row>
    <row r="18" spans="3:4" s="38" customFormat="1" x14ac:dyDescent="0.2">
      <c r="C18" s="67"/>
      <c r="D18" s="73"/>
    </row>
    <row r="19" spans="3:4" ht="15.75" x14ac:dyDescent="0.2">
      <c r="C19" s="72" t="s">
        <v>70</v>
      </c>
      <c r="D19" s="139"/>
    </row>
    <row r="20" spans="3:4" x14ac:dyDescent="0.2">
      <c r="D20" s="74"/>
    </row>
    <row r="21" spans="3:4" ht="51.75" customHeight="1" x14ac:dyDescent="0.2">
      <c r="C21" s="72" t="s">
        <v>71</v>
      </c>
      <c r="D21" s="139"/>
    </row>
    <row r="22" spans="3:4" ht="22.5" customHeight="1" x14ac:dyDescent="0.2"/>
    <row r="23" spans="3:4" ht="15.75" x14ac:dyDescent="0.2">
      <c r="C23" s="72" t="s">
        <v>68</v>
      </c>
      <c r="D23" s="130"/>
    </row>
    <row r="24" spans="3:4" x14ac:dyDescent="0.2">
      <c r="D24" s="129"/>
    </row>
    <row r="27" spans="3:4" ht="15.75" x14ac:dyDescent="0.2">
      <c r="C27" s="72"/>
    </row>
    <row r="30" spans="3:4" ht="5.25" customHeight="1" x14ac:dyDescent="0.2"/>
    <row r="31" spans="3:4" ht="15.75" x14ac:dyDescent="0.2">
      <c r="C31" s="72" t="s">
        <v>67</v>
      </c>
      <c r="D31" s="75"/>
    </row>
  </sheetData>
  <sheetProtection selectLockedCells="1"/>
  <mergeCells count="2">
    <mergeCell ref="C2:E2"/>
    <mergeCell ref="C1:D1"/>
  </mergeCells>
  <pageMargins left="0.25" right="0.25" top="0.90648148148148144" bottom="0.75" header="0.3" footer="0.3"/>
  <pageSetup paperSize="5" scale="90" orientation="landscape" r:id="rId1"/>
  <headerFooter>
    <oddHeader>&amp;L&amp;G&amp;C&amp;"Arial,Bold"&amp;18&amp;K000000Claim Attestation
&amp;R&amp;"Arial,Bold"Municipal Disaster Recovery Assistance Program</oddHeader>
    <oddFooter>&amp;RPage &amp;P of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5" name="Check Box 8">
              <controlPr defaultSize="0" autoFill="0" autoLine="0" autoPict="0" altText="Please check this box to confirm">
                <anchor moveWithCells="1">
                  <from>
                    <xdr:col>1</xdr:col>
                    <xdr:colOff>990600</xdr:colOff>
                    <xdr:row>11</xdr:row>
                    <xdr:rowOff>28575</xdr:rowOff>
                  </from>
                  <to>
                    <xdr:col>1</xdr:col>
                    <xdr:colOff>1247775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0.Claimant Home Page</vt:lpstr>
      <vt:lpstr>1.Goods &amp; Services Operating Co</vt:lpstr>
      <vt:lpstr>2.Goods &amp; Services Capital Cost</vt:lpstr>
      <vt:lpstr>3.Employee Operating Costs</vt:lpstr>
      <vt:lpstr>4.Employee Capital Costs</vt:lpstr>
      <vt:lpstr>5.Claimant Own Equip Operating </vt:lpstr>
      <vt:lpstr>6.Claimant Own Equip Capital co</vt:lpstr>
      <vt:lpstr>7.Revenue</vt:lpstr>
      <vt:lpstr>8.Total Claim </vt:lpstr>
      <vt:lpstr>9. Future Estimated Costs</vt:lpstr>
      <vt:lpstr>10. Claim Attestation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Deanna.Allan@ontario.ca</dc:creator>
  <cp:lastModifiedBy>Scherf, Robert (MAH)</cp:lastModifiedBy>
  <cp:lastPrinted>2015-12-11T17:43:49Z</cp:lastPrinted>
  <dcterms:created xsi:type="dcterms:W3CDTF">2014-05-04T15:17:23Z</dcterms:created>
  <dcterms:modified xsi:type="dcterms:W3CDTF">2017-03-02T20:17:30Z</dcterms:modified>
</cp:coreProperties>
</file>